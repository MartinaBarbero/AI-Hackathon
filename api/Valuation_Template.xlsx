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acbook/Desktop/AI Hackathon/"/>
    </mc:Choice>
  </mc:AlternateContent>
  <xr:revisionPtr revIDLastSave="0" documentId="8_{4B448ECB-CA53-4343-B690-6085557C6584}" xr6:coauthVersionLast="47" xr6:coauthVersionMax="47" xr10:uidLastSave="{00000000-0000-0000-0000-000000000000}"/>
  <bookViews>
    <workbookView xWindow="0" yWindow="660" windowWidth="29400" windowHeight="18460" tabRatio="500" activeTab="3" xr2:uid="{00000000-000D-0000-FFFF-FFFF00000000}"/>
  </bookViews>
  <sheets>
    <sheet name="Cover" sheetId="1" r:id="rId1"/>
    <sheet name="Assumptions" sheetId="2" r:id="rId2"/>
    <sheet name="Revenue" sheetId="3" r:id="rId3"/>
    <sheet name="PnL_OPEX" sheetId="4" r:id="rId4"/>
    <sheet name="FCF_DCF" sheetId="5" r:id="rId5"/>
    <sheet name="Scenarios" sheetId="6" r:id="rId6"/>
    <sheet name="Sensitivity" sheetId="7" r:id="rId7"/>
    <sheet name="Dashboar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1" i="8" l="1"/>
  <c r="J20" i="8"/>
  <c r="B20" i="8"/>
  <c r="G10" i="7"/>
  <c r="F10" i="7"/>
  <c r="E10" i="7"/>
  <c r="D10" i="7"/>
  <c r="C10" i="7"/>
  <c r="G9" i="7"/>
  <c r="F9" i="7"/>
  <c r="E9" i="7"/>
  <c r="D9" i="7"/>
  <c r="C9" i="7"/>
  <c r="G8" i="7"/>
  <c r="F8" i="7"/>
  <c r="E8" i="7"/>
  <c r="D8" i="7"/>
  <c r="C8" i="7"/>
  <c r="G7" i="7"/>
  <c r="F7" i="7"/>
  <c r="E7" i="7"/>
  <c r="D7" i="7"/>
  <c r="C7" i="7"/>
  <c r="G6" i="7"/>
  <c r="F6" i="7"/>
  <c r="E6" i="7"/>
  <c r="D6" i="7"/>
  <c r="C6" i="7"/>
  <c r="G5" i="7"/>
  <c r="F5" i="7"/>
  <c r="E5" i="7"/>
  <c r="D5" i="7"/>
  <c r="C5" i="7"/>
  <c r="G4" i="7"/>
  <c r="F4" i="7"/>
  <c r="E4" i="7"/>
  <c r="D4" i="7"/>
  <c r="C4" i="7"/>
  <c r="C7" i="5"/>
  <c r="M6" i="5"/>
  <c r="L6" i="5"/>
  <c r="K6" i="5"/>
  <c r="J6" i="5"/>
  <c r="I6" i="5"/>
  <c r="H6" i="5"/>
  <c r="G6" i="5"/>
  <c r="F6" i="5"/>
  <c r="E6" i="5"/>
  <c r="D6" i="5"/>
  <c r="C6" i="5"/>
  <c r="M19" i="4"/>
  <c r="G44" i="8" s="1"/>
  <c r="L19" i="4"/>
  <c r="L5" i="5" s="1"/>
  <c r="K19" i="4"/>
  <c r="K5" i="5" s="1"/>
  <c r="J19" i="4"/>
  <c r="F44" i="8" s="1"/>
  <c r="I19" i="4"/>
  <c r="I5" i="5" s="1"/>
  <c r="H19" i="4"/>
  <c r="H5" i="5" s="1"/>
  <c r="G19" i="4"/>
  <c r="E44" i="8" s="1"/>
  <c r="F19" i="4"/>
  <c r="F5" i="5" s="1"/>
  <c r="E19" i="4"/>
  <c r="D44" i="8" s="1"/>
  <c r="D19" i="4"/>
  <c r="D5" i="5" s="1"/>
  <c r="C19" i="4"/>
  <c r="C44" i="8" s="1"/>
  <c r="M11" i="4"/>
  <c r="L11" i="4"/>
  <c r="K11" i="4"/>
  <c r="J11" i="4"/>
  <c r="I11" i="4"/>
  <c r="H11" i="4"/>
  <c r="G11" i="4"/>
  <c r="F11" i="4"/>
  <c r="E11" i="4"/>
  <c r="D11" i="4"/>
  <c r="C11" i="4"/>
  <c r="M10" i="4"/>
  <c r="L10" i="4"/>
  <c r="K10" i="4"/>
  <c r="J10" i="4"/>
  <c r="I10" i="4"/>
  <c r="H10" i="4"/>
  <c r="G10" i="4"/>
  <c r="F10" i="4"/>
  <c r="E10" i="4"/>
  <c r="D10" i="4"/>
  <c r="C10" i="4"/>
  <c r="M9" i="4"/>
  <c r="L9" i="4"/>
  <c r="K9" i="4"/>
  <c r="J9" i="4"/>
  <c r="I9" i="4"/>
  <c r="H9" i="4"/>
  <c r="G9" i="4"/>
  <c r="F9" i="4"/>
  <c r="E9" i="4"/>
  <c r="D9" i="4"/>
  <c r="C9" i="4"/>
  <c r="M8" i="4"/>
  <c r="L8" i="4"/>
  <c r="K8" i="4"/>
  <c r="J8" i="4"/>
  <c r="I8" i="4"/>
  <c r="H8" i="4"/>
  <c r="G8" i="4"/>
  <c r="F8" i="4"/>
  <c r="E8" i="4"/>
  <c r="D8" i="4"/>
  <c r="C8" i="4"/>
  <c r="M7" i="4"/>
  <c r="L7" i="4"/>
  <c r="L12" i="4" s="1"/>
  <c r="K7" i="4"/>
  <c r="J7" i="4"/>
  <c r="I7" i="4"/>
  <c r="I12" i="4" s="1"/>
  <c r="H7" i="4"/>
  <c r="G7" i="4"/>
  <c r="F7" i="4"/>
  <c r="E7" i="4"/>
  <c r="D7" i="4"/>
  <c r="C7" i="4"/>
  <c r="C12" i="4" s="1"/>
  <c r="C41" i="8" s="1"/>
  <c r="M15" i="3"/>
  <c r="L15" i="3"/>
  <c r="K15" i="3"/>
  <c r="J15" i="3"/>
  <c r="I15" i="3"/>
  <c r="H15" i="3"/>
  <c r="G15" i="3"/>
  <c r="F15" i="3"/>
  <c r="E15" i="3"/>
  <c r="D15" i="3"/>
  <c r="C15" i="3"/>
  <c r="M14" i="3"/>
  <c r="L14" i="3"/>
  <c r="K14" i="3"/>
  <c r="J14" i="3"/>
  <c r="I14" i="3"/>
  <c r="H14" i="3"/>
  <c r="G14" i="3"/>
  <c r="F14" i="3"/>
  <c r="E14" i="3"/>
  <c r="D14" i="3"/>
  <c r="C14" i="3"/>
  <c r="M9" i="3"/>
  <c r="L9" i="3"/>
  <c r="K9" i="3"/>
  <c r="J9" i="3"/>
  <c r="I9" i="3"/>
  <c r="H9" i="3"/>
  <c r="G9" i="3"/>
  <c r="F9" i="3"/>
  <c r="E9" i="3"/>
  <c r="D9" i="3"/>
  <c r="C9" i="3"/>
  <c r="M8" i="3"/>
  <c r="L8" i="3"/>
  <c r="K8" i="3"/>
  <c r="J8" i="3"/>
  <c r="I8" i="3"/>
  <c r="H8" i="3"/>
  <c r="G8" i="3"/>
  <c r="F8" i="3"/>
  <c r="E8" i="3"/>
  <c r="D8" i="3"/>
  <c r="C8" i="3"/>
  <c r="M7" i="3"/>
  <c r="L7" i="3"/>
  <c r="K7" i="3"/>
  <c r="J7" i="3"/>
  <c r="I7" i="3"/>
  <c r="H7" i="3"/>
  <c r="G7" i="3"/>
  <c r="F7" i="3"/>
  <c r="E7" i="3"/>
  <c r="D7" i="3"/>
  <c r="C7" i="3"/>
  <c r="M6" i="3"/>
  <c r="L6" i="3"/>
  <c r="K6" i="3"/>
  <c r="J6" i="3"/>
  <c r="I6" i="3"/>
  <c r="H6" i="3"/>
  <c r="G6" i="3"/>
  <c r="F6" i="3"/>
  <c r="E6" i="3"/>
  <c r="D6" i="3"/>
  <c r="C6" i="3"/>
  <c r="D5" i="3"/>
  <c r="D27" i="8" s="1"/>
  <c r="M4" i="3"/>
  <c r="M26" i="2"/>
  <c r="M5" i="3" s="1"/>
  <c r="D36" i="8" s="1"/>
  <c r="L26" i="2"/>
  <c r="L5" i="3" s="1"/>
  <c r="D35" i="8" s="1"/>
  <c r="K26" i="2"/>
  <c r="K5" i="3" s="1"/>
  <c r="D34" i="8" s="1"/>
  <c r="J26" i="2"/>
  <c r="J5" i="3" s="1"/>
  <c r="D33" i="8" s="1"/>
  <c r="I26" i="2"/>
  <c r="I5" i="3" s="1"/>
  <c r="D32" i="8" s="1"/>
  <c r="H26" i="2"/>
  <c r="H5" i="3" s="1"/>
  <c r="D31" i="8" s="1"/>
  <c r="G26" i="2"/>
  <c r="F26" i="2"/>
  <c r="F5" i="3" s="1"/>
  <c r="D29" i="8" s="1"/>
  <c r="E26" i="2"/>
  <c r="E5" i="3" s="1"/>
  <c r="D28" i="8" s="1"/>
  <c r="D26" i="2"/>
  <c r="C26" i="2"/>
  <c r="C5" i="3" s="1"/>
  <c r="D26" i="8" s="1"/>
  <c r="M19" i="2"/>
  <c r="L19" i="2"/>
  <c r="L16" i="3" s="1"/>
  <c r="K19" i="2"/>
  <c r="K4" i="3" s="1"/>
  <c r="C34" i="8" s="1"/>
  <c r="J19" i="2"/>
  <c r="J4" i="3" s="1"/>
  <c r="C33" i="8" s="1"/>
  <c r="I19" i="2"/>
  <c r="I4" i="3" s="1"/>
  <c r="H19" i="2"/>
  <c r="G19" i="2"/>
  <c r="G4" i="3" s="1"/>
  <c r="C30" i="8" s="1"/>
  <c r="F19" i="2"/>
  <c r="F16" i="3" s="1"/>
  <c r="E19" i="2"/>
  <c r="E16" i="3" s="1"/>
  <c r="D19" i="2"/>
  <c r="D16" i="3" s="1"/>
  <c r="C19" i="2"/>
  <c r="C4" i="3" s="1"/>
  <c r="C26" i="8" s="1"/>
  <c r="M11" i="2"/>
  <c r="M11" i="5" s="1"/>
  <c r="G11" i="2"/>
  <c r="G11" i="5" s="1"/>
  <c r="F11" i="2"/>
  <c r="F11" i="5" s="1"/>
  <c r="M7" i="2"/>
  <c r="L7" i="2"/>
  <c r="L11" i="2" s="1"/>
  <c r="L11" i="5" s="1"/>
  <c r="K7" i="2"/>
  <c r="K11" i="2" s="1"/>
  <c r="K11" i="5" s="1"/>
  <c r="J7" i="2"/>
  <c r="J11" i="2" s="1"/>
  <c r="J11" i="5" s="1"/>
  <c r="I7" i="2"/>
  <c r="I11" i="2" s="1"/>
  <c r="I11" i="5" s="1"/>
  <c r="H7" i="2"/>
  <c r="H11" i="2" s="1"/>
  <c r="H11" i="5" s="1"/>
  <c r="G7" i="2"/>
  <c r="F7" i="2"/>
  <c r="E7" i="2"/>
  <c r="E11" i="2" s="1"/>
  <c r="E11" i="5" s="1"/>
  <c r="D7" i="2"/>
  <c r="D11" i="2" s="1"/>
  <c r="D11" i="5" s="1"/>
  <c r="C7" i="2"/>
  <c r="C11" i="2" s="1"/>
  <c r="K12" i="4" l="1"/>
  <c r="D12" i="4"/>
  <c r="C5" i="5"/>
  <c r="E5" i="5"/>
  <c r="M16" i="3"/>
  <c r="G12" i="4"/>
  <c r="E41" i="8" s="1"/>
  <c r="F12" i="4"/>
  <c r="E4" i="3"/>
  <c r="C28" i="8" s="1"/>
  <c r="M5" i="5"/>
  <c r="F4" i="3"/>
  <c r="C29" i="8" s="1"/>
  <c r="J12" i="4"/>
  <c r="F41" i="8" s="1"/>
  <c r="F11" i="3"/>
  <c r="K11" i="3"/>
  <c r="C16" i="3"/>
  <c r="J11" i="3"/>
  <c r="J8" i="8"/>
  <c r="C11" i="5"/>
  <c r="I16" i="3"/>
  <c r="C36" i="8"/>
  <c r="M11" i="3"/>
  <c r="J16" i="3"/>
  <c r="K16" i="3"/>
  <c r="J5" i="5"/>
  <c r="G16" i="3"/>
  <c r="G5" i="3"/>
  <c r="D30" i="8" s="1"/>
  <c r="L4" i="3"/>
  <c r="H16" i="3"/>
  <c r="H12" i="4"/>
  <c r="E12" i="4"/>
  <c r="D41" i="8" s="1"/>
  <c r="M12" i="4"/>
  <c r="G41" i="8" s="1"/>
  <c r="C32" i="8"/>
  <c r="I11" i="3"/>
  <c r="D4" i="3"/>
  <c r="C11" i="3"/>
  <c r="H4" i="3"/>
  <c r="G5" i="5"/>
  <c r="E11" i="3" l="1"/>
  <c r="C35" i="8"/>
  <c r="L11" i="3"/>
  <c r="M18" i="3" s="1"/>
  <c r="F28" i="8"/>
  <c r="E28" i="8"/>
  <c r="D40" i="8"/>
  <c r="E4" i="4"/>
  <c r="E15" i="4" s="1"/>
  <c r="F33" i="8"/>
  <c r="E33" i="8"/>
  <c r="J7" i="5"/>
  <c r="J4" i="4"/>
  <c r="J15" i="4" s="1"/>
  <c r="J18" i="3"/>
  <c r="F40" i="8"/>
  <c r="G33" i="8"/>
  <c r="H11" i="3"/>
  <c r="G32" i="8" s="1"/>
  <c r="C31" i="8"/>
  <c r="G34" i="8"/>
  <c r="F34" i="8"/>
  <c r="K7" i="5"/>
  <c r="K4" i="4"/>
  <c r="K15" i="4" s="1"/>
  <c r="E34" i="8"/>
  <c r="K18" i="3"/>
  <c r="F26" i="8"/>
  <c r="E26" i="8"/>
  <c r="C4" i="4"/>
  <c r="C15" i="4" s="1"/>
  <c r="C40" i="8"/>
  <c r="F32" i="8"/>
  <c r="I4" i="4"/>
  <c r="I15" i="4" s="1"/>
  <c r="E32" i="8"/>
  <c r="G11" i="3"/>
  <c r="F36" i="8"/>
  <c r="E36" i="8"/>
  <c r="G40" i="8"/>
  <c r="B14" i="8"/>
  <c r="M4" i="4"/>
  <c r="M15" i="4" s="1"/>
  <c r="C27" i="8"/>
  <c r="D11" i="3"/>
  <c r="G28" i="8" s="1"/>
  <c r="G29" i="8"/>
  <c r="F18" i="3"/>
  <c r="F29" i="8"/>
  <c r="E29" i="8"/>
  <c r="F7" i="5"/>
  <c r="F4" i="4"/>
  <c r="F15" i="4" s="1"/>
  <c r="G36" i="8" l="1"/>
  <c r="M7" i="5"/>
  <c r="I18" i="3"/>
  <c r="I7" i="5"/>
  <c r="K16" i="4"/>
  <c r="K20" i="4"/>
  <c r="E18" i="3"/>
  <c r="I16" i="4"/>
  <c r="I20" i="4"/>
  <c r="E7" i="5"/>
  <c r="F42" i="8"/>
  <c r="J16" i="4"/>
  <c r="F43" i="8" s="1"/>
  <c r="J20" i="4"/>
  <c r="C16" i="4"/>
  <c r="C43" i="8" s="1"/>
  <c r="C42" i="8"/>
  <c r="C20" i="4"/>
  <c r="G27" i="8"/>
  <c r="D18" i="3"/>
  <c r="F27" i="8"/>
  <c r="E27" i="8"/>
  <c r="D7" i="5"/>
  <c r="D4" i="4"/>
  <c r="D15" i="4" s="1"/>
  <c r="E30" i="8"/>
  <c r="G4" i="4"/>
  <c r="G15" i="4" s="1"/>
  <c r="E40" i="8"/>
  <c r="G7" i="5"/>
  <c r="G30" i="8"/>
  <c r="F30" i="8"/>
  <c r="G18" i="3"/>
  <c r="G42" i="8"/>
  <c r="F14" i="8"/>
  <c r="M20" i="4"/>
  <c r="M16" i="4"/>
  <c r="G35" i="8"/>
  <c r="L18" i="3"/>
  <c r="F35" i="8"/>
  <c r="E35" i="8"/>
  <c r="L7" i="5"/>
  <c r="L4" i="4"/>
  <c r="L15" i="4" s="1"/>
  <c r="F16" i="4"/>
  <c r="F20" i="4"/>
  <c r="G31" i="8"/>
  <c r="F31" i="8"/>
  <c r="E31" i="8"/>
  <c r="H7" i="5"/>
  <c r="H4" i="4"/>
  <c r="H15" i="4" s="1"/>
  <c r="H18" i="3"/>
  <c r="E20" i="4"/>
  <c r="D42" i="8"/>
  <c r="E16" i="4"/>
  <c r="D43" i="8" s="1"/>
  <c r="I21" i="4" l="1"/>
  <c r="I22" i="4" s="1"/>
  <c r="I4" i="5" s="1"/>
  <c r="I8" i="5" s="1"/>
  <c r="I12" i="5" s="1"/>
  <c r="F21" i="4"/>
  <c r="F22" i="4" s="1"/>
  <c r="F4" i="5" s="1"/>
  <c r="F8" i="5" s="1"/>
  <c r="F12" i="5" s="1"/>
  <c r="J14" i="8"/>
  <c r="G43" i="8"/>
  <c r="D45" i="8"/>
  <c r="E21" i="4"/>
  <c r="E22" i="4" s="1"/>
  <c r="G45" i="8"/>
  <c r="M21" i="4"/>
  <c r="M22" i="4" s="1"/>
  <c r="E42" i="8"/>
  <c r="G16" i="4"/>
  <c r="E43" i="8" s="1"/>
  <c r="G20" i="4"/>
  <c r="C45" i="8"/>
  <c r="C21" i="4"/>
  <c r="C22" i="4" s="1"/>
  <c r="L20" i="4"/>
  <c r="L16" i="4"/>
  <c r="H20" i="4"/>
  <c r="H16" i="4"/>
  <c r="D20" i="4"/>
  <c r="D16" i="4"/>
  <c r="K21" i="4"/>
  <c r="K22" i="4" s="1"/>
  <c r="K4" i="5" s="1"/>
  <c r="K8" i="5" s="1"/>
  <c r="K12" i="5" s="1"/>
  <c r="F45" i="8"/>
  <c r="J21" i="4"/>
  <c r="J22" i="4" s="1"/>
  <c r="D46" i="8" l="1"/>
  <c r="E4" i="5"/>
  <c r="E8" i="5" s="1"/>
  <c r="E12" i="5" s="1"/>
  <c r="J4" i="5"/>
  <c r="J8" i="5" s="1"/>
  <c r="J12" i="5" s="1"/>
  <c r="F46" i="8"/>
  <c r="H21" i="4"/>
  <c r="H22" i="4" s="1"/>
  <c r="H4" i="5" s="1"/>
  <c r="H8" i="5" s="1"/>
  <c r="H12" i="5" s="1"/>
  <c r="G46" i="8"/>
  <c r="M4" i="5"/>
  <c r="M8" i="5" s="1"/>
  <c r="L21" i="4"/>
  <c r="L22" i="4" s="1"/>
  <c r="L4" i="5" s="1"/>
  <c r="L8" i="5" s="1"/>
  <c r="L12" i="5" s="1"/>
  <c r="C46" i="8"/>
  <c r="C4" i="5"/>
  <c r="C8" i="5" s="1"/>
  <c r="C12" i="5" s="1"/>
  <c r="D21" i="4"/>
  <c r="D22" i="4" s="1"/>
  <c r="D4" i="5" s="1"/>
  <c r="D8" i="5" s="1"/>
  <c r="D12" i="5" s="1"/>
  <c r="E45" i="8"/>
  <c r="G21" i="4"/>
  <c r="G22" i="4" s="1"/>
  <c r="M15" i="5" l="1"/>
  <c r="M16" i="5" s="1"/>
  <c r="F59" i="8" s="1"/>
  <c r="M12" i="5"/>
  <c r="G4" i="5"/>
  <c r="G8" i="5" s="1"/>
  <c r="G12" i="5" s="1"/>
  <c r="E46" i="8"/>
  <c r="C19" i="5"/>
  <c r="C20" i="5" l="1"/>
  <c r="F58" i="8"/>
  <c r="F60" i="8" l="1"/>
  <c r="C22" i="5"/>
  <c r="B8" i="8"/>
  <c r="F20" i="8"/>
  <c r="C23" i="5"/>
  <c r="F62" i="8" l="1"/>
  <c r="F8" i="8"/>
</calcChain>
</file>

<file path=xl/sharedStrings.xml><?xml version="1.0" encoding="utf-8"?>
<sst xmlns="http://schemas.openxmlformats.org/spreadsheetml/2006/main" count="337" uniqueCount="238">
  <si>
    <t>[COMPANY NAME] — INVESTOR DCF MODEL</t>
  </si>
  <si>
    <t>Company</t>
  </si>
  <si>
    <t>[Company Name]</t>
  </si>
  <si>
    <t>Technology / Product</t>
  </si>
  <si>
    <t>[Core Technology or Product]</t>
  </si>
  <si>
    <t>Business Model</t>
  </si>
  <si>
    <t>[e.g. Licensing | Royalties | Milestones]</t>
  </si>
  <si>
    <t>Model Version</t>
  </si>
  <si>
    <t>v1.0</t>
  </si>
  <si>
    <t>Projection Period</t>
  </si>
  <si>
    <t>[YYYY] - [YYYY]</t>
  </si>
  <si>
    <t>Valuation Date</t>
  </si>
  <si>
    <t>[Month Year]</t>
  </si>
  <si>
    <t>Prepared by</t>
  </si>
  <si>
    <t>[Analyst Name]</t>
  </si>
  <si>
    <t>WACC (Base)</t>
  </si>
  <si>
    <t>see Assumptions sheet</t>
  </si>
  <si>
    <t>Terminal Growth</t>
  </si>
  <si>
    <t>COLOR LEGEND</t>
  </si>
  <si>
    <t>Blue text</t>
  </si>
  <si>
    <t>Hardcoded input assumptions — editable by founder</t>
  </si>
  <si>
    <t>Black text</t>
  </si>
  <si>
    <t>Calculated formulas — do not edit</t>
  </si>
  <si>
    <t>Green text</t>
  </si>
  <si>
    <t>Cross-sheet links — do not edit</t>
  </si>
  <si>
    <t>Yellow fill</t>
  </si>
  <si>
    <t>Cells requiring attention or confirmation</t>
  </si>
  <si>
    <t>Emoji in notes col</t>
  </si>
  <si>
    <t>See column M for guidance on each input</t>
  </si>
  <si>
    <t>[COMPANY NAME] — DCF MODEL | ASSUMPTIONS</t>
  </si>
  <si>
    <t>CHF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</si>
  <si>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</si>
  <si>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</si>
  <si>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</si>
  <si>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</si>
  <si>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</si>
  <si>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</si>
  <si>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</si>
  <si>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</si>
  <si>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</si>
  <si>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</si>
  <si>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</si>
  <si>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Source / Note</t>
  </si>
  <si>
    <t>A. MACRO &amp; DISCOUNT RATE</t>
  </si>
  <si>
    <t>Risk-Free Rate (10Y CHF Govt)</t>
  </si>
  <si>
    <t>📌 Insert: current 10Y risk-free rate for your currency (e.g. SNB, Fed, ECB)</t>
  </si>
  <si>
    <t>Equity Risk Premium</t>
  </si>
  <si>
    <t>📌 Insert: Equity Risk Premium — see Damodaran online (damodaran.com → Risk Premiums)</t>
  </si>
  <si>
    <t>Beta (unlevered, Biotech/Nutr.)</t>
  </si>
  <si>
    <t>📌 Insert: unlevered beta for your sector — Damodaran sector beta table, select closest industry</t>
  </si>
  <si>
    <t>Cost of Equity (CAPM)</t>
  </si>
  <si>
    <t>CAPM: Ke = Rf + β × ERP</t>
  </si>
  <si>
    <t>Cost of Debt (pre-tax)</t>
  </si>
  <si>
    <t>📌 Insert: cost of debt — use interest rate on your CLA / loan, or market rate for early-stage</t>
  </si>
  <si>
    <t>Tax Rate</t>
  </si>
  <si>
    <t>📌 Insert: effective corporate tax rate for your jurisdiction (canton + federal, or country rate)</t>
  </si>
  <si>
    <t>Debt / (Debt+Equity)</t>
  </si>
  <si>
    <t>📌 Insert: target D/(D+E) ratio — for early-stage startups typically 0–20%</t>
  </si>
  <si>
    <t>WACC</t>
  </si>
  <si>
    <t>WACC = Ke×(1-D/V) + Kd×(1-t)×(D/V); bottom-up CAPM</t>
  </si>
  <si>
    <t>B. REVENUE ASSUMPTIONS — DEAL STRUCTURE</t>
  </si>
  <si>
    <t>Deal 1 — [Partner Name / Deal Description]</t>
  </si>
  <si>
    <t>Deal 1: Contract Signing Year</t>
  </si>
  <si>
    <t>📌 Insert: year deal is signed — upfront license fee recognised in this year</t>
  </si>
  <si>
    <t>Deal 1: Upfront License Fee (CHF)</t>
  </si>
  <si>
    <t>📌 Insert: upfront license fee agreed with partner — check comparable deals in your sector</t>
  </si>
  <si>
    <t>Deal 1: Royalty Rate</t>
  </si>
  <si>
    <t>📌 Insert: royalty rate negotiated with partner — typical range 2–10% depending on IP strength &amp; sector</t>
  </si>
  <si>
    <t>Deal 1: Partner Revenue Base (CHF)</t>
  </si>
  <si>
    <t>📌 Insert: partner's projected revenue base year-by-year — use partner's own forecasts or market data</t>
  </si>
  <si>
    <t>Deal 1: Royalty Revenue</t>
  </si>
  <si>
    <t>ℹ️ Formula auto-calculated: Partner Revenue Base × Royalty Rate</t>
  </si>
  <si>
    <t>Deal 2 — [Partner Name / Deal Description]</t>
  </si>
  <si>
    <t>Deal 2: Co-Dev Fee Start Year</t>
  </si>
  <si>
    <t>📌 Insert: year co-development agreement starts — fee recognised from this year</t>
  </si>
  <si>
    <t>Deal 2: Annual Co-Dev Fee (CHF)</t>
  </si>
  <si>
    <t>📌 Insert: annual co-development fee agreed with partner — fill only the years the agreement is active</t>
  </si>
  <si>
    <t>Deal 2: Royalty Rate</t>
  </si>
  <si>
    <t>📌 Insert: royalty rate for this deal — may differ from Deal 1 based on partner contribution</t>
  </si>
  <si>
    <t>Deal 2: Partner Revenue Base (CHF)</t>
  </si>
  <si>
    <t>📌 Insert: partner's revenue base from which royalties are calculated — fill from commercial launch year</t>
  </si>
  <si>
    <t>Deal 2: Royalty Revenue</t>
  </si>
  <si>
    <t>Deals 3–6 — Placeholder (Additional Partners)</t>
  </si>
  <si>
    <t>Deal 3: Annual Revenue (CHF)</t>
  </si>
  <si>
    <t>📌 Insert: total annual revenue from this deal (upfront + fees + royalties combined)</t>
  </si>
  <si>
    <t>Deal 4: Annual Revenue (CHF)</t>
  </si>
  <si>
    <t>Deal 5: Annual Revenue (CHF)</t>
  </si>
  <si>
    <t>📌 Insert: total annual revenue from this deal — leave blank if not applicable</t>
  </si>
  <si>
    <t>Deal 6: Annual Revenue (CHF)</t>
  </si>
  <si>
    <t>C. OPEX ASSUMPTIONS</t>
  </si>
  <si>
    <t>Personnel — FTEs</t>
  </si>
  <si>
    <t>📌 Insert: number of full-time employees (FTEs) per year — include founders</t>
  </si>
  <si>
    <t>Avg. Fully-Loaded Cost / FTE (CHF)</t>
  </si>
  <si>
    <t>📌 Insert: average fully-loaded cost per FTE — include salary + employer social charges + benefits</t>
  </si>
  <si>
    <t>Lab &amp; Materials (CHF)</t>
  </si>
  <si>
    <t>📌 Insert: annual lab &amp; materials cost — include consumables, reagents, lab access fees</t>
  </si>
  <si>
    <t>IP / Patent Maintenance (CHF)</t>
  </si>
  <si>
    <t>📌 Insert: IP &amp; patent costs — include filing fees, renewal fees, patent attorney retainer</t>
  </si>
  <si>
    <t>Regulatory &amp; Clinical (CHF)</t>
  </si>
  <si>
    <t>📌 Insert: regulatory &amp; clinical costs — typically higher in early years during approval process</t>
  </si>
  <si>
    <t>G&amp;A / Facilities (CHF)</t>
  </si>
  <si>
    <t>📌 Insert: G&amp;A costs — office rent, insurance, legal, accounting, admin</t>
  </si>
  <si>
    <t>CPI Escalator</t>
  </si>
  <si>
    <t>📌 Insert: annual cost inflation rate — used to escalate personnel costs over time (e.g. 1.5–2.5%)</t>
  </si>
  <si>
    <t>D. CAPEX &amp; NET WORKING CAPITAL</t>
  </si>
  <si>
    <t>Capex — Lab Equipment (CHF)</t>
  </si>
  <si>
    <t>📌 Insert: annual capex — lab equipment purchases, IT, any physical assets. 0 if fully asset-light</t>
  </si>
  <si>
    <t>D&amp;A Rate on Gross PP&amp;E</t>
  </si>
  <si>
    <t>📌 Insert: D&amp;A rate — 20% = 5yr straight-line life. Adjust based on your asset types</t>
  </si>
  <si>
    <t>NWC as % of Revenue</t>
  </si>
  <si>
    <t>📌 Insert: NWC as % of revenue — reflects receivables/payables cycle. Low for licensing models (~3–8%)</t>
  </si>
  <si>
    <t>E. TERMINAL VALUE</t>
  </si>
  <si>
    <t>Long-Term Growth Rate (g)</t>
  </si>
  <si>
    <t>📌 Insert: long-term growth rate for terminal value — typically 2–3% for developed markets</t>
  </si>
  <si>
    <t>EV/EBITDA Exit Multiple (cross-check)</t>
  </si>
  <si>
    <t>📌 Insert: EV/EBITDA exit multiple — use comparable public company or M&amp;A transaction multiples for your sector</t>
  </si>
  <si>
    <t>REVENUE FORECAST (CHF)</t>
  </si>
  <si>
    <t>LICENSING &amp; ROYALTY REVENUE BY DEAL</t>
  </si>
  <si>
    <t>Deal 1 — Upfront + Royalty Revenue</t>
  </si>
  <si>
    <t>Deal 2 — Co-Dev Fees + Royalty Revenue</t>
  </si>
  <si>
    <t>Deal 3 — Revenue</t>
  </si>
  <si>
    <t>Deal 4 — Revenue</t>
  </si>
  <si>
    <t>Deal 5 — Revenue</t>
  </si>
  <si>
    <t>Deal 6 — Revenue</t>
  </si>
  <si>
    <t>TOTAL REVENUE</t>
  </si>
  <si>
    <t>REVENUE BRIDGE BY TYPE</t>
  </si>
  <si>
    <t>Upfront License Fees</t>
  </si>
  <si>
    <t>Co-Development Fees</t>
  </si>
  <si>
    <t>Royalties (ongoing)</t>
  </si>
  <si>
    <t>Revenue Growth YoY</t>
  </si>
  <si>
    <t>-</t>
  </si>
  <si>
    <t>P&amp;L — OPERATING EXPENSES &amp; EBITDA</t>
  </si>
  <si>
    <t>REVENUE (LINKED)</t>
  </si>
  <si>
    <t>Total Revenue</t>
  </si>
  <si>
    <t>OPERATING EXPENSES</t>
  </si>
  <si>
    <t>Personnel Costs</t>
  </si>
  <si>
    <t>Lab &amp; Materials</t>
  </si>
  <si>
    <t>IP / Patent Costs</t>
  </si>
  <si>
    <t>Regulatory &amp; Clinical</t>
  </si>
  <si>
    <t>G&amp;A / Facilities</t>
  </si>
  <si>
    <t>Total OPEX</t>
  </si>
  <si>
    <t>EBITDA</t>
  </si>
  <si>
    <t>EBITDA Margin %</t>
  </si>
  <si>
    <t>D&amp;A &amp; EBIT</t>
  </si>
  <si>
    <t>Depreciation &amp; Amortization</t>
  </si>
  <si>
    <t>EBIT</t>
  </si>
  <si>
    <t>Taxes (EBIT × Tax Rate)</t>
  </si>
  <si>
    <t>NOPAT (= EBIT × (1−t))</t>
  </si>
  <si>
    <t>FREE CASH FLOW TO FIRM &amp; DCF VALUATION</t>
  </si>
  <si>
    <t>FCF BRIDGE (NOPAT → FCFF)</t>
  </si>
  <si>
    <t>NOPAT</t>
  </si>
  <si>
    <t>(+) Depreciation &amp; Amortization</t>
  </si>
  <si>
    <t>(−) Capital Expenditures</t>
  </si>
  <si>
    <t>(−) Change in Net Working Capital</t>
  </si>
  <si>
    <t>FCFF</t>
  </si>
  <si>
    <t>DISCOUNT FACTORS &amp; PV(FCFF)</t>
  </si>
  <si>
    <t>Discount Factor</t>
  </si>
  <si>
    <t>PV of FCFF</t>
  </si>
  <si>
    <t>TERMINAL VALUE (GORDON GROWTH MODEL)</t>
  </si>
  <si>
    <t>Terminal Value (nominal) — GGM</t>
  </si>
  <si>
    <t>PV of Terminal Value</t>
  </si>
  <si>
    <t>ENTERPRISE VALUE &amp; EQUITY BRIDGE</t>
  </si>
  <si>
    <t>Sum of PV(FCFF)</t>
  </si>
  <si>
    <t>Enterprise Value (EV)</t>
  </si>
  <si>
    <t>(−) Net Debt (CLA outstanding)</t>
  </si>
  <si>
    <t>Equity Value</t>
  </si>
  <si>
    <t>EV/EBITDA Cross-Check (2035)</t>
  </si>
  <si>
    <t>SCENARIO ANALYSIS — BEAR / BASE / BULL</t>
  </si>
  <si>
    <t>Parameter</t>
  </si>
  <si>
    <t>Bear</t>
  </si>
  <si>
    <t>Base</t>
  </si>
  <si>
    <t>Bull</t>
  </si>
  <si>
    <t>Bear EV</t>
  </si>
  <si>
    <t>Base EV</t>
  </si>
  <si>
    <t>Bull EV</t>
  </si>
  <si>
    <t>Royalty Rate — Deal 1</t>
  </si>
  <si>
    <t>—</t>
  </si>
  <si>
    <t>Co-Dev Fee — Deal 2 (CHF)</t>
  </si>
  <si>
    <t>Nr. of Deals by 2030</t>
  </si>
  <si>
    <t>Terminal EV/EBITDA</t>
  </si>
  <si>
    <t>NOTE: Bear/Bull EV outputs require manual scenario toggle on Assumptions sheet. Dynamic engine TBD.</t>
  </si>
  <si>
    <t>SENSITIVITY HEATMAP — EV (CHF '000)</t>
  </si>
  <si>
    <t>WACC \ g →</t>
  </si>
  <si>
    <t>1.5%</t>
  </si>
  <si>
    <t>2.0%</t>
  </si>
  <si>
    <t>2.5%</t>
  </si>
  <si>
    <t>3.0%</t>
  </si>
  <si>
    <t>3.5%</t>
  </si>
  <si>
    <t>18.0%</t>
  </si>
  <si>
    <t>20.0%</t>
  </si>
  <si>
    <t>22.0%</t>
  </si>
  <si>
    <t>22.7%</t>
  </si>
  <si>
    <t>24.0%</t>
  </si>
  <si>
    <t>26.0%</t>
  </si>
  <si>
    <t>28.0%</t>
  </si>
  <si>
    <t>ℹ️ Formulas compute EV (CHF '000) inline: Σ PV(FCFF) + PV(TV·GGM), with WACC from row header &amp; g from column header. No Data Table needed.</t>
  </si>
  <si>
    <t>[COMPANY NAME]  |  INVESTOR DCF DASHBOARD</t>
  </si>
  <si>
    <t>[Technology / Product]  |  [Business Model]  |  Projection Period: [YYYY]–[YYYY]  |  Valuation Date: [Date]</t>
  </si>
  <si>
    <t xml:space="preserve">  📊  VALUATION SUMMARY</t>
  </si>
  <si>
    <t>Enterprise Value (CHF)</t>
  </si>
  <si>
    <t>Equity Value (CHF)</t>
  </si>
  <si>
    <t>WACC (Base Case)</t>
  </si>
  <si>
    <t>Base Case DCF — GGM Terminal Value</t>
  </si>
  <si>
    <t>EV less net financial debt</t>
  </si>
  <si>
    <t>CAPM bottom-up</t>
  </si>
  <si>
    <t xml:space="preserve">  💰  REVENUE &amp; PROFITABILITY HIGHLIGHTS</t>
  </si>
  <si>
    <t>Peak Revenue 2035 (CHF)</t>
  </si>
  <si>
    <t>Peak EBITDA 2035 (CHF)</t>
  </si>
  <si>
    <t>EBITDA Margin 2035</t>
  </si>
  <si>
    <t>Total licensing + royalties + co-dev</t>
  </si>
  <si>
    <t>After all operating costs</t>
  </si>
  <si>
    <t>High-margin asset-light model</t>
  </si>
  <si>
    <t xml:space="preserve">  ⚙️  KEY ASSUMPTIONS SNAPSHOT</t>
  </si>
  <si>
    <t>Terminal Growth Rate (g)</t>
  </si>
  <si>
    <t>EV/EBITDA Cross-Check</t>
  </si>
  <si>
    <t>Deal 1 Royalty Rate</t>
  </si>
  <si>
    <t>Long-run nominal GDP aligned</t>
  </si>
  <si>
    <t>vs. comp set median 12x</t>
  </si>
  <si>
    <t>Deal 1 royalty rate</t>
  </si>
  <si>
    <t xml:space="preserve">  📈  REVENUE FORECAST BY YEAR (CHF)</t>
  </si>
  <si>
    <t>Year</t>
  </si>
  <si>
    <t>Deal 1</t>
  </si>
  <si>
    <t>Deal 2</t>
  </si>
  <si>
    <t>Deals 3-6</t>
  </si>
  <si>
    <t>YoY Growth</t>
  </si>
  <si>
    <t xml:space="preserve">  📋  P&amp;L SUMMARY (CHF)  —  KEY YEARS</t>
  </si>
  <si>
    <t>Metric</t>
  </si>
  <si>
    <t>D&amp;A</t>
  </si>
  <si>
    <t xml:space="preserve">  🎯  SCENARIO ANALYSIS — BEAR / BASE / BULL</t>
  </si>
  <si>
    <t>Base (Model)</t>
  </si>
  <si>
    <t>Co-Dev Fee — Deal 2</t>
  </si>
  <si>
    <t>Long-Term Growth (g)</t>
  </si>
  <si>
    <t>EV/EBITDA Exit Multiple</t>
  </si>
  <si>
    <t xml:space="preserve">  🔄  FCF &amp; VALUATION BRIDGE</t>
  </si>
  <si>
    <t>(+) PV of Terminal Value</t>
  </si>
  <si>
    <t>(−) Net Debt (CLA)</t>
  </si>
  <si>
    <t>⚠️  All values in CHF.  Blue = input assumptions  |  Black = calculated  |  Green = cross-sheet links  |  Yellow fill = key output.  Model v1.0 — Hackathon Template — May 2026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</si>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</sst>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;\-0.0%;\-"/>
    <numFmt numFmtId="165" formatCode="#,##0;\(#,##0\);\-"/>
    <numFmt numFmtId="166" formatCode="0.0%;\(0.0%\);\-"/>
    <numFmt numFmtId="167" formatCode="0.0\x"/>
    <numFmt numFmtId="168" formatCode="0.0000"/>
  </numFmts>
  <fonts count="41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b/>
      <sz val="9"/>
      <color rgb="FFFFFFFF"/>
      <name val="Arial"/>
      <family val="2"/>
    </font>
    <font>
      <sz val="8"/>
      <color rgb="FF8892A4"/>
      <name val="Arial"/>
      <family val="2"/>
    </font>
    <font>
      <b/>
      <sz val="16"/>
      <color rgb="FF1A2C5B"/>
      <name val="Arial"/>
      <family val="2"/>
    </font>
    <font>
      <b/>
      <sz val="16"/>
      <color rgb="FF1D6F42"/>
      <name val="Arial"/>
      <family val="2"/>
    </font>
    <font>
      <sz val="8"/>
      <name val="Arial"/>
      <family val="2"/>
    </font>
    <font>
      <i/>
      <sz val="7.5"/>
      <color rgb="FF8892A4"/>
      <name val="Arial"/>
      <family val="2"/>
    </font>
    <font>
      <b/>
      <sz val="8"/>
      <color rgb="FFFFFFFF"/>
      <name val="Arial"/>
      <family val="2"/>
    </font>
    <font>
      <b/>
      <sz val="9"/>
      <color rgb="FF1A2C5B"/>
      <name val="Arial"/>
      <family val="2"/>
    </font>
    <font>
      <sz val="9"/>
      <color rgb="FF008000"/>
      <name val="Arial"/>
      <family val="2"/>
    </font>
    <font>
      <sz val="9"/>
      <color rgb="FF000000"/>
      <name val="Arial"/>
      <family val="2"/>
    </font>
    <font>
      <sz val="9"/>
      <color rgb="FF1A2C5B"/>
      <name val="Arial"/>
      <family val="2"/>
    </font>
    <font>
      <sz val="9"/>
      <color rgb="FFC0392B"/>
      <name val="Arial"/>
      <family val="2"/>
    </font>
    <font>
      <b/>
      <sz val="9"/>
      <color rgb="FF1D6F42"/>
      <name val="Arial"/>
      <family val="2"/>
    </font>
    <font>
      <sz val="9"/>
      <color rgb="FF1A1A2E"/>
      <name val="Arial"/>
      <family val="2"/>
    </font>
    <font>
      <sz val="9"/>
      <color rgb="FF1D6F42"/>
      <name val="Arial"/>
      <family val="2"/>
    </font>
    <font>
      <b/>
      <sz val="10"/>
      <color rgb="FF1A2C5B"/>
      <name val="Arial"/>
      <family val="2"/>
    </font>
    <font>
      <b/>
      <sz val="10"/>
      <color rgb="FF1D6F42"/>
      <name val="Arial"/>
      <family val="2"/>
    </font>
    <font>
      <b/>
      <sz val="14"/>
      <color rgb="FFFFFFFF"/>
      <name val="Arial"/>
      <family val="2"/>
    </font>
    <font>
      <sz val="10"/>
      <color rgb="FF000000"/>
      <name val="Arial"/>
      <family val="2"/>
      <charset val="1"/>
    </font>
    <font>
      <b/>
      <sz val="9"/>
      <color rgb="FF0000FF"/>
      <name val="Arial"/>
      <family val="2"/>
    </font>
    <font>
      <b/>
      <sz val="9"/>
      <color rgb="FF000000"/>
      <name val="Arial"/>
      <family val="2"/>
    </font>
    <font>
      <b/>
      <sz val="9"/>
      <color rgb="FF008000"/>
      <name val="Arial"/>
      <family val="2"/>
    </font>
    <font>
      <b/>
      <sz val="9"/>
      <color rgb="FF1A1A2E"/>
      <name val="Arial"/>
      <family val="2"/>
    </font>
    <font>
      <b/>
      <sz val="10"/>
      <color rgb="FFFFFFFF"/>
      <name val="Arial"/>
      <family val="2"/>
    </font>
    <font>
      <sz val="9"/>
      <color rgb="FF0000FF"/>
      <name val="Arial"/>
      <family val="2"/>
    </font>
    <font>
      <i/>
      <sz val="8"/>
      <color rgb="FF8892A4"/>
      <name val="Arial"/>
      <family val="2"/>
    </font>
    <font>
      <b/>
      <sz val="10"/>
      <color rgb="FF000000"/>
      <name val="Arial"/>
      <family val="2"/>
      <charset val="1"/>
    </font>
    <font>
      <i/>
      <sz val="8"/>
      <color rgb="FF7F7F7F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8000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9"/>
      <color rgb="FFC0392B"/>
      <name val="Arial"/>
      <family val="2"/>
    </font>
    <font>
      <b/>
      <sz val="11"/>
      <color rgb="FF1A2C5B"/>
      <name val="Arial"/>
      <family val="2"/>
    </font>
    <font>
      <i/>
      <sz val="9"/>
      <color rgb="FF7F7F7F"/>
      <name val="Arial"/>
      <family val="2"/>
      <charset val="1"/>
    </font>
    <font>
      <sz val="11"/>
      <color rgb="FF008000"/>
      <name val="Calibri"/>
      <family val="2"/>
    </font>
    <font>
      <sz val="9"/>
      <color theme="1"/>
      <name val="Arial"/>
      <family val="2"/>
    </font>
    <font>
      <i/>
      <sz val="9"/>
      <color theme="0"/>
      <name val="Arial"/>
      <family val="2"/>
    </font>
    <font>
      <b/>
      <sz val="11"/>
      <color theme="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0D1B3E"/>
        <bgColor rgb="FF1A1A2E"/>
      </patternFill>
    </fill>
    <fill>
      <patternFill patternType="solid">
        <fgColor rgb="FF1A2C5B"/>
        <bgColor rgb="FF1F3864"/>
      </patternFill>
    </fill>
    <fill>
      <patternFill patternType="solid">
        <fgColor rgb="FFF5F7FA"/>
        <bgColor rgb="FFF0F4FA"/>
      </patternFill>
    </fill>
    <fill>
      <patternFill patternType="solid">
        <fgColor rgb="FFE8ECF5"/>
        <bgColor rgb="FFE3F2FD"/>
      </patternFill>
    </fill>
    <fill>
      <patternFill patternType="solid">
        <fgColor rgb="FFEBF5EB"/>
        <bgColor rgb="FFE8F5E9"/>
      </patternFill>
    </fill>
    <fill>
      <patternFill patternType="solid">
        <fgColor rgb="FFFFFFFF"/>
        <bgColor rgb="FFFFFFF0"/>
      </patternFill>
    </fill>
    <fill>
      <patternFill patternType="solid">
        <fgColor rgb="FFF0F4FA"/>
        <bgColor rgb="FFF5F7FA"/>
      </patternFill>
    </fill>
    <fill>
      <patternFill patternType="solid">
        <fgColor rgb="FFFDECEA"/>
        <bgColor rgb="FFFDF3DC"/>
      </patternFill>
    </fill>
    <fill>
      <patternFill patternType="solid">
        <fgColor rgb="FFFDF3DC"/>
        <bgColor rgb="FFFDECEA"/>
      </patternFill>
    </fill>
    <fill>
      <patternFill patternType="solid">
        <fgColor rgb="FFD9E1F2"/>
        <bgColor rgb="FFE8ECF5"/>
      </patternFill>
    </fill>
    <fill>
      <patternFill patternType="solid">
        <fgColor rgb="FFE8F5E9"/>
        <bgColor rgb="FFEBF5EB"/>
      </patternFill>
    </fill>
    <fill>
      <patternFill patternType="solid">
        <fgColor rgb="FFE3F2FD"/>
        <bgColor rgb="FFE8ECF5"/>
      </patternFill>
    </fill>
    <fill>
      <patternFill patternType="solid">
        <fgColor rgb="FF1F3864"/>
        <bgColor rgb="FF1A2C5B"/>
      </patternFill>
    </fill>
    <fill>
      <patternFill patternType="solid">
        <fgColor rgb="FFFFFFF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rgb="FF4472C4"/>
      </patternFill>
    </fill>
    <fill>
      <patternFill patternType="solid">
        <fgColor theme="0"/>
        <bgColor rgb="FF1F3864"/>
      </patternFill>
    </fill>
  </fills>
  <borders count="66">
    <border>
      <left/>
      <right/>
      <top/>
      <bottom/>
      <diagonal/>
    </border>
    <border>
      <left style="thin">
        <color rgb="FFC5CDD8"/>
      </left>
      <right/>
      <top style="thin">
        <color rgb="FFC5CDD8"/>
      </top>
      <bottom/>
      <diagonal/>
    </border>
    <border>
      <left style="thin">
        <color rgb="FFC5CDD8"/>
      </left>
      <right/>
      <top/>
      <bottom/>
      <diagonal/>
    </border>
    <border>
      <left style="thin">
        <color rgb="FFC5CDD8"/>
      </left>
      <right style="thin">
        <color rgb="FFC5CDD8"/>
      </right>
      <top style="thin">
        <color rgb="FFC5CDD8"/>
      </top>
      <bottom style="thin">
        <color rgb="FFC5CDD8"/>
      </bottom>
      <diagonal/>
    </border>
    <border>
      <left style="thin">
        <color rgb="FFC5CDD8"/>
      </left>
      <right/>
      <top style="thin">
        <color rgb="FFC5CDD8"/>
      </top>
      <bottom style="thin">
        <color rgb="FFC5CDD8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 style="thin">
        <color rgb="FFC5CDD8"/>
      </left>
      <right style="thin">
        <color rgb="FFB8B8B8"/>
      </right>
      <top style="thin">
        <color rgb="FFC5CDD8"/>
      </top>
      <bottom style="thin">
        <color rgb="FFC5CDD8"/>
      </bottom>
      <diagonal/>
    </border>
    <border>
      <left/>
      <right/>
      <top style="thin">
        <color rgb="FFC5CDD8"/>
      </top>
      <bottom/>
      <diagonal/>
    </border>
    <border>
      <left/>
      <right/>
      <top style="thin">
        <color rgb="FFC5CDD8"/>
      </top>
      <bottom style="thin">
        <color rgb="FFC5CDD8"/>
      </bottom>
      <diagonal/>
    </border>
    <border>
      <left/>
      <right style="thin">
        <color rgb="FFB8B8B8"/>
      </right>
      <top style="thin">
        <color rgb="FFC5CDD8"/>
      </top>
      <bottom style="thin">
        <color rgb="FFC5CDD8"/>
      </bottom>
      <diagonal/>
    </border>
    <border>
      <left/>
      <right/>
      <top/>
      <bottom style="thin">
        <color rgb="FFC5CDD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8B8B8"/>
      </left>
      <right style="thin">
        <color rgb="FFB8B8B8"/>
      </right>
      <top/>
      <bottom style="thin">
        <color rgb="FFB8B8B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5CDD8"/>
      </right>
      <top style="thin">
        <color rgb="FFC5CDD8"/>
      </top>
      <bottom style="thin">
        <color rgb="FFC5CDD8"/>
      </bottom>
      <diagonal/>
    </border>
    <border>
      <left style="thin">
        <color rgb="FFC5CDD8"/>
      </left>
      <right style="medium">
        <color indexed="64"/>
      </right>
      <top style="thin">
        <color rgb="FFC5CDD8"/>
      </top>
      <bottom style="thin">
        <color rgb="FFC5CDD8"/>
      </bottom>
      <diagonal/>
    </border>
    <border>
      <left style="medium">
        <color indexed="64"/>
      </left>
      <right style="thin">
        <color rgb="FFC5CDD8"/>
      </right>
      <top style="thin">
        <color rgb="FFC5CDD8"/>
      </top>
      <bottom style="medium">
        <color indexed="64"/>
      </bottom>
      <diagonal/>
    </border>
    <border>
      <left style="thin">
        <color rgb="FFC5CDD8"/>
      </left>
      <right style="medium">
        <color indexed="64"/>
      </right>
      <top style="thin">
        <color rgb="FFC5CDD8"/>
      </top>
      <bottom style="medium">
        <color indexed="64"/>
      </bottom>
      <diagonal/>
    </border>
    <border>
      <left style="medium">
        <color indexed="64"/>
      </left>
      <right style="thin">
        <color rgb="FFC5CDD8"/>
      </right>
      <top/>
      <bottom style="thin">
        <color rgb="FFC5CDD8"/>
      </bottom>
      <diagonal/>
    </border>
    <border>
      <left style="thin">
        <color rgb="FFC5CDD8"/>
      </left>
      <right style="medium">
        <color indexed="64"/>
      </right>
      <top/>
      <bottom style="thin">
        <color rgb="FFC5CDD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C5CDD8"/>
      </bottom>
      <diagonal/>
    </border>
    <border>
      <left/>
      <right style="medium">
        <color indexed="64"/>
      </right>
      <top style="thin">
        <color rgb="FFC5CDD8"/>
      </top>
      <bottom style="thin">
        <color rgb="FFC5CDD8"/>
      </bottom>
      <diagonal/>
    </border>
    <border>
      <left/>
      <right style="medium">
        <color indexed="64"/>
      </right>
      <top style="thin">
        <color rgb="FFC5CDD8"/>
      </top>
      <bottom style="medium">
        <color indexed="64"/>
      </bottom>
      <diagonal/>
    </border>
    <border>
      <left style="thin">
        <color rgb="FFB8B8B8"/>
      </left>
      <right style="thin">
        <color rgb="FFB8B8B8"/>
      </right>
      <top/>
      <bottom/>
      <diagonal/>
    </border>
    <border>
      <left style="medium">
        <color indexed="64"/>
      </left>
      <right style="thin">
        <color rgb="FFB8B8B8"/>
      </right>
      <top style="medium">
        <color indexed="64"/>
      </top>
      <bottom style="medium">
        <color indexed="64"/>
      </bottom>
      <diagonal/>
    </border>
    <border>
      <left style="thin">
        <color rgb="FFC5CDD8"/>
      </left>
      <right style="thin">
        <color rgb="FFC5CDD8"/>
      </right>
      <top/>
      <bottom style="thin">
        <color rgb="FFC5CDD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C5CDD8"/>
      </left>
      <right style="thin">
        <color rgb="FFC5CDD8"/>
      </right>
      <top style="thin">
        <color rgb="FFC5CDD8"/>
      </top>
      <bottom style="medium">
        <color indexed="64"/>
      </bottom>
      <diagonal/>
    </border>
    <border>
      <left style="medium">
        <color indexed="64"/>
      </left>
      <right style="thin">
        <color rgb="FFC5CDD8"/>
      </right>
      <top style="thin">
        <color rgb="FFC5CDD8"/>
      </top>
      <bottom/>
      <diagonal/>
    </border>
    <border>
      <left style="thin">
        <color rgb="FFC5CDD8"/>
      </left>
      <right style="thin">
        <color rgb="FFC5CDD8"/>
      </right>
      <top style="thin">
        <color rgb="FFC5CDD8"/>
      </top>
      <bottom/>
      <diagonal/>
    </border>
    <border>
      <left style="thin">
        <color rgb="FFC5CDD8"/>
      </left>
      <right style="medium">
        <color indexed="64"/>
      </right>
      <top style="thin">
        <color rgb="FFC5CDD8"/>
      </top>
      <bottom/>
      <diagonal/>
    </border>
    <border>
      <left style="medium">
        <color indexed="64"/>
      </left>
      <right style="thin">
        <color rgb="FFC5CDD8"/>
      </right>
      <top style="medium">
        <color indexed="64"/>
      </top>
      <bottom style="medium">
        <color indexed="64"/>
      </bottom>
      <diagonal/>
    </border>
    <border>
      <left style="thin">
        <color rgb="FFC5CDD8"/>
      </left>
      <right style="thin">
        <color rgb="FFC5CDD8"/>
      </right>
      <top style="medium">
        <color indexed="64"/>
      </top>
      <bottom style="medium">
        <color indexed="64"/>
      </bottom>
      <diagonal/>
    </border>
    <border>
      <left style="thin">
        <color rgb="FFC5CDD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C5CDD8"/>
      </right>
      <top style="medium">
        <color indexed="64"/>
      </top>
      <bottom style="medium">
        <color indexed="64"/>
      </bottom>
      <diagonal/>
    </border>
    <border>
      <left style="thin">
        <color rgb="FFC5CDD8"/>
      </left>
      <right style="thin">
        <color rgb="FFC5CDD8"/>
      </right>
      <top/>
      <bottom/>
      <diagonal/>
    </border>
    <border>
      <left style="medium">
        <color indexed="64"/>
      </left>
      <right style="thin">
        <color rgb="FFC5CDD8"/>
      </right>
      <top style="medium">
        <color indexed="64"/>
      </top>
      <bottom style="thin">
        <color rgb="FFC5CDD8"/>
      </bottom>
      <diagonal/>
    </border>
    <border>
      <left/>
      <right/>
      <top style="medium">
        <color indexed="64"/>
      </top>
      <bottom style="thin">
        <color rgb="FFC5CDD8"/>
      </bottom>
      <diagonal/>
    </border>
    <border>
      <left/>
      <right style="medium">
        <color indexed="64"/>
      </right>
      <top style="medium">
        <color indexed="64"/>
      </top>
      <bottom style="thin">
        <color rgb="FFC5CDD8"/>
      </bottom>
      <diagonal/>
    </border>
    <border>
      <left style="thin">
        <color rgb="FFC5CDD8"/>
      </left>
      <right/>
      <top style="thin">
        <color rgb="FFC5CDD8"/>
      </top>
      <bottom style="medium">
        <color indexed="64"/>
      </bottom>
      <diagonal/>
    </border>
    <border>
      <left/>
      <right/>
      <top style="thin">
        <color rgb="FFC5CDD8"/>
      </top>
      <bottom style="medium">
        <color indexed="64"/>
      </bottom>
      <diagonal/>
    </border>
    <border>
      <left style="thin">
        <color rgb="FFB8B8B8"/>
      </left>
      <right style="thin">
        <color rgb="FFB8B8B8"/>
      </right>
      <top style="medium">
        <color indexed="64"/>
      </top>
      <bottom style="thin">
        <color rgb="FFB8B8B8"/>
      </bottom>
      <diagonal/>
    </border>
    <border>
      <left style="thin">
        <color rgb="FFB8B8B8"/>
      </left>
      <right style="medium">
        <color indexed="64"/>
      </right>
      <top style="medium">
        <color indexed="64"/>
      </top>
      <bottom style="thin">
        <color rgb="FFB8B8B8"/>
      </bottom>
      <diagonal/>
    </border>
    <border>
      <left style="medium">
        <color indexed="64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 style="thin">
        <color rgb="FFB8B8B8"/>
      </left>
      <right style="medium">
        <color indexed="64"/>
      </right>
      <top style="thin">
        <color rgb="FFB8B8B8"/>
      </top>
      <bottom style="thin">
        <color rgb="FFB8B8B8"/>
      </bottom>
      <diagonal/>
    </border>
    <border>
      <left style="medium">
        <color indexed="64"/>
      </left>
      <right style="thin">
        <color rgb="FFB8B8B8"/>
      </right>
      <top style="thin">
        <color rgb="FFB8B8B8"/>
      </top>
      <bottom style="medium">
        <color indexed="64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medium">
        <color indexed="64"/>
      </bottom>
      <diagonal/>
    </border>
    <border>
      <left style="thin">
        <color rgb="FFB8B8B8"/>
      </left>
      <right style="medium">
        <color indexed="64"/>
      </right>
      <top style="thin">
        <color rgb="FFB8B8B8"/>
      </top>
      <bottom style="medium">
        <color indexed="64"/>
      </bottom>
      <diagonal/>
    </border>
    <border>
      <left style="medium">
        <color indexed="64"/>
      </left>
      <right style="thin">
        <color rgb="FFB8B8B8"/>
      </right>
      <top/>
      <bottom style="thin">
        <color rgb="FFB8B8B8"/>
      </bottom>
      <diagonal/>
    </border>
    <border>
      <left style="thin">
        <color rgb="FFB8B8B8"/>
      </left>
      <right style="medium">
        <color indexed="64"/>
      </right>
      <top/>
      <bottom style="thin">
        <color rgb="FFB8B8B8"/>
      </bottom>
      <diagonal/>
    </border>
    <border>
      <left/>
      <right style="thin">
        <color rgb="FFB8B8B8"/>
      </right>
      <top style="medium">
        <color indexed="64"/>
      </top>
      <bottom style="thin">
        <color rgb="FFB8B8B8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C5CDD8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C5CDD8"/>
      </top>
      <bottom/>
      <diagonal/>
    </border>
    <border>
      <left style="medium">
        <color indexed="64"/>
      </left>
      <right/>
      <top style="thin">
        <color rgb="FFC5CDD8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C5CDD8"/>
      </bottom>
      <diagonal/>
    </border>
    <border>
      <left style="medium">
        <color indexed="64"/>
      </left>
      <right/>
      <top style="thin">
        <color rgb="FFC5CDD8"/>
      </top>
      <bottom style="thin">
        <color rgb="FFC5CDD8"/>
      </bottom>
      <diagonal/>
    </border>
    <border>
      <left style="medium">
        <color indexed="64"/>
      </left>
      <right/>
      <top style="thin">
        <color rgb="FFC5CDD8"/>
      </top>
      <bottom style="medium">
        <color indexed="64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0" fillId="4" borderId="0" xfId="0" applyFill="1"/>
    <xf numFmtId="0" fontId="8" fillId="3" borderId="3" xfId="0" applyFont="1" applyFill="1" applyBorder="1" applyAlignment="1">
      <alignment horizontal="center" vertical="center"/>
    </xf>
    <xf numFmtId="0" fontId="0" fillId="4" borderId="3" xfId="0" applyFill="1" applyBorder="1"/>
    <xf numFmtId="165" fontId="10" fillId="7" borderId="3" xfId="0" applyNumberFormat="1" applyFont="1" applyFill="1" applyBorder="1" applyAlignment="1">
      <alignment horizontal="center" vertical="center"/>
    </xf>
    <xf numFmtId="165" fontId="9" fillId="7" borderId="3" xfId="0" applyNumberFormat="1" applyFont="1" applyFill="1" applyBorder="1" applyAlignment="1">
      <alignment horizontal="center" vertical="center"/>
    </xf>
    <xf numFmtId="164" fontId="11" fillId="7" borderId="3" xfId="0" applyNumberFormat="1" applyFont="1" applyFill="1" applyBorder="1" applyAlignment="1">
      <alignment horizontal="center" vertical="center"/>
    </xf>
    <xf numFmtId="0" fontId="0" fillId="7" borderId="3" xfId="0" applyFill="1" applyBorder="1"/>
    <xf numFmtId="165" fontId="10" fillId="8" borderId="3" xfId="0" applyNumberFormat="1" applyFont="1" applyFill="1" applyBorder="1" applyAlignment="1">
      <alignment horizontal="center" vertical="center"/>
    </xf>
    <xf numFmtId="165" fontId="9" fillId="8" borderId="3" xfId="0" applyNumberFormat="1" applyFont="1" applyFill="1" applyBorder="1" applyAlignment="1">
      <alignment horizontal="center" vertical="center"/>
    </xf>
    <xf numFmtId="164" fontId="11" fillId="8" borderId="3" xfId="0" applyNumberFormat="1" applyFont="1" applyFill="1" applyBorder="1" applyAlignment="1">
      <alignment horizontal="center" vertical="center"/>
    </xf>
    <xf numFmtId="0" fontId="0" fillId="8" borderId="3" xfId="0" applyFill="1" applyBorder="1"/>
    <xf numFmtId="165" fontId="13" fillId="7" borderId="3" xfId="0" applyNumberFormat="1" applyFont="1" applyFill="1" applyBorder="1" applyAlignment="1">
      <alignment horizontal="center" vertical="center"/>
    </xf>
    <xf numFmtId="165" fontId="14" fillId="8" borderId="3" xfId="0" applyNumberFormat="1" applyFont="1" applyFill="1" applyBorder="1" applyAlignment="1">
      <alignment horizontal="center" vertical="center"/>
    </xf>
    <xf numFmtId="164" fontId="12" fillId="7" borderId="3" xfId="0" applyNumberFormat="1" applyFont="1" applyFill="1" applyBorder="1" applyAlignment="1">
      <alignment horizontal="center" vertical="center"/>
    </xf>
    <xf numFmtId="165" fontId="13" fillId="8" borderId="3" xfId="0" applyNumberFormat="1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0" fillId="5" borderId="3" xfId="0" applyFill="1" applyBorder="1"/>
    <xf numFmtId="164" fontId="26" fillId="7" borderId="3" xfId="0" applyNumberFormat="1" applyFont="1" applyFill="1" applyBorder="1" applyAlignment="1">
      <alignment horizontal="center" vertical="center"/>
    </xf>
    <xf numFmtId="2" fontId="26" fillId="7" borderId="3" xfId="0" applyNumberFormat="1" applyFont="1" applyFill="1" applyBorder="1" applyAlignment="1">
      <alignment horizontal="center" vertical="center"/>
    </xf>
    <xf numFmtId="1" fontId="26" fillId="7" borderId="3" xfId="0" applyNumberFormat="1" applyFont="1" applyFill="1" applyBorder="1" applyAlignment="1">
      <alignment horizontal="center" vertical="center"/>
    </xf>
    <xf numFmtId="165" fontId="26" fillId="7" borderId="3" xfId="0" applyNumberFormat="1" applyFont="1" applyFill="1" applyBorder="1" applyAlignment="1">
      <alignment horizontal="center" vertical="center"/>
    </xf>
    <xf numFmtId="165" fontId="11" fillId="7" borderId="3" xfId="0" applyNumberFormat="1" applyFont="1" applyFill="1" applyBorder="1" applyAlignment="1">
      <alignment horizontal="center" vertical="center"/>
    </xf>
    <xf numFmtId="165" fontId="31" fillId="7" borderId="3" xfId="0" applyNumberFormat="1" applyFont="1" applyFill="1" applyBorder="1" applyAlignment="1">
      <alignment horizontal="right" vertical="center"/>
    </xf>
    <xf numFmtId="165" fontId="24" fillId="4" borderId="3" xfId="0" applyNumberFormat="1" applyFont="1" applyFill="1" applyBorder="1" applyAlignment="1">
      <alignment horizontal="center" vertical="center"/>
    </xf>
    <xf numFmtId="168" fontId="11" fillId="7" borderId="3" xfId="0" applyNumberFormat="1" applyFont="1" applyFill="1" applyBorder="1" applyAlignment="1">
      <alignment horizontal="center" vertical="center"/>
    </xf>
    <xf numFmtId="165" fontId="28" fillId="7" borderId="3" xfId="0" applyNumberFormat="1" applyFont="1" applyFill="1" applyBorder="1" applyAlignment="1">
      <alignment horizontal="right" vertical="center"/>
    </xf>
    <xf numFmtId="0" fontId="31" fillId="11" borderId="5" xfId="0" applyFont="1" applyFill="1" applyBorder="1" applyAlignment="1">
      <alignment horizontal="center" vertical="center"/>
    </xf>
    <xf numFmtId="0" fontId="20" fillId="11" borderId="5" xfId="0" applyFont="1" applyFill="1" applyBorder="1" applyAlignment="1">
      <alignment horizontal="center" vertical="center"/>
    </xf>
    <xf numFmtId="0" fontId="31" fillId="7" borderId="5" xfId="0" applyFont="1" applyFill="1" applyBorder="1" applyAlignment="1">
      <alignment horizontal="center" vertical="center"/>
    </xf>
    <xf numFmtId="0" fontId="20" fillId="7" borderId="5" xfId="0" applyFont="1" applyFill="1" applyBorder="1" applyAlignment="1">
      <alignment horizontal="center" vertical="center"/>
    </xf>
    <xf numFmtId="0" fontId="36" fillId="0" borderId="0" xfId="0" applyFont="1"/>
    <xf numFmtId="0" fontId="37" fillId="11" borderId="5" xfId="0" applyFont="1" applyFill="1" applyBorder="1" applyAlignment="1">
      <alignment horizontal="center" vertical="center"/>
    </xf>
    <xf numFmtId="0" fontId="37" fillId="7" borderId="5" xfId="0" applyFont="1" applyFill="1" applyBorder="1" applyAlignment="1">
      <alignment horizontal="center" vertical="center"/>
    </xf>
    <xf numFmtId="0" fontId="0" fillId="0" borderId="8" xfId="0" applyBorder="1"/>
    <xf numFmtId="165" fontId="24" fillId="4" borderId="6" xfId="0" applyNumberFormat="1" applyFont="1" applyFill="1" applyBorder="1" applyAlignment="1">
      <alignment horizontal="center" vertical="center"/>
    </xf>
    <xf numFmtId="0" fontId="0" fillId="0" borderId="9" xfId="0" applyBorder="1"/>
    <xf numFmtId="165" fontId="35" fillId="10" borderId="4" xfId="0" applyNumberFormat="1" applyFont="1" applyFill="1" applyBorder="1" applyAlignment="1">
      <alignment horizontal="center" vertical="center"/>
    </xf>
    <xf numFmtId="0" fontId="0" fillId="0" borderId="0" xfId="0"/>
    <xf numFmtId="165" fontId="34" fillId="4" borderId="6" xfId="0" applyNumberFormat="1" applyFont="1" applyFill="1" applyBorder="1" applyAlignment="1">
      <alignment horizontal="center" vertical="center"/>
    </xf>
    <xf numFmtId="0" fontId="36" fillId="15" borderId="0" xfId="0" applyFont="1" applyFill="1"/>
    <xf numFmtId="0" fontId="6" fillId="7" borderId="2" xfId="0" applyFont="1" applyFill="1" applyBorder="1" applyAlignment="1">
      <alignment horizontal="center" vertical="center"/>
    </xf>
    <xf numFmtId="0" fontId="0" fillId="4" borderId="0" xfId="0" applyFill="1"/>
    <xf numFmtId="164" fontId="4" fillId="7" borderId="2" xfId="0" applyNumberFormat="1" applyFont="1" applyFill="1" applyBorder="1" applyAlignment="1">
      <alignment horizontal="center" vertical="center"/>
    </xf>
    <xf numFmtId="0" fontId="0" fillId="0" borderId="7" xfId="0" applyBorder="1"/>
    <xf numFmtId="165" fontId="5" fillId="6" borderId="2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165" fontId="15" fillId="7" borderId="4" xfId="0" applyNumberFormat="1" applyFont="1" applyFill="1" applyBorder="1" applyAlignment="1">
      <alignment horizontal="center" vertical="center"/>
    </xf>
    <xf numFmtId="0" fontId="0" fillId="0" borderId="10" xfId="0" applyBorder="1"/>
    <xf numFmtId="0" fontId="3" fillId="7" borderId="1" xfId="0" applyFont="1" applyFill="1" applyBorder="1" applyAlignment="1">
      <alignment horizontal="center"/>
    </xf>
    <xf numFmtId="165" fontId="15" fillId="8" borderId="4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165" fontId="13" fillId="7" borderId="4" xfId="0" applyNumberFormat="1" applyFont="1" applyFill="1" applyBorder="1" applyAlignment="1">
      <alignment horizontal="center" vertical="center"/>
    </xf>
    <xf numFmtId="165" fontId="17" fillId="5" borderId="4" xfId="0" applyNumberFormat="1" applyFont="1" applyFill="1" applyBorder="1" applyAlignment="1">
      <alignment horizontal="center" vertical="center"/>
    </xf>
    <xf numFmtId="167" fontId="4" fillId="7" borderId="2" xfId="0" applyNumberFormat="1" applyFont="1" applyFill="1" applyBorder="1" applyAlignment="1">
      <alignment horizontal="center" vertical="center"/>
    </xf>
    <xf numFmtId="0" fontId="15" fillId="7" borderId="16" xfId="0" applyFont="1" applyFill="1" applyBorder="1" applyAlignment="1">
      <alignment horizontal="left" vertical="center"/>
    </xf>
    <xf numFmtId="0" fontId="15" fillId="7" borderId="18" xfId="0" applyFont="1" applyFill="1" applyBorder="1" applyAlignment="1">
      <alignment horizontal="left" vertical="center"/>
    </xf>
    <xf numFmtId="0" fontId="15" fillId="7" borderId="20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0" fillId="0" borderId="22" xfId="0" applyBorder="1"/>
    <xf numFmtId="0" fontId="15" fillId="7" borderId="23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15" fillId="7" borderId="24" xfId="0" applyFont="1" applyFill="1" applyBorder="1" applyAlignment="1">
      <alignment horizontal="left" vertical="center"/>
    </xf>
    <xf numFmtId="0" fontId="15" fillId="7" borderId="25" xfId="0" applyFont="1" applyFill="1" applyBorder="1" applyAlignment="1">
      <alignment horizontal="left" vertical="center"/>
    </xf>
    <xf numFmtId="0" fontId="20" fillId="0" borderId="26" xfId="0" applyFont="1" applyBorder="1"/>
    <xf numFmtId="0" fontId="22" fillId="7" borderId="15" xfId="0" applyFont="1" applyFill="1" applyBorder="1" applyAlignment="1">
      <alignment horizontal="left" vertical="center"/>
    </xf>
    <xf numFmtId="0" fontId="23" fillId="7" borderId="15" xfId="0" applyFont="1" applyFill="1" applyBorder="1" applyAlignment="1">
      <alignment horizontal="left" vertical="center"/>
    </xf>
    <xf numFmtId="0" fontId="24" fillId="7" borderId="15" xfId="0" applyFont="1" applyFill="1" applyBorder="1" applyAlignment="1">
      <alignment horizontal="left" vertical="center"/>
    </xf>
    <xf numFmtId="0" fontId="24" fillId="7" borderId="17" xfId="0" applyFont="1" applyFill="1" applyBorder="1" applyAlignment="1">
      <alignment horizontal="left" vertical="center"/>
    </xf>
    <xf numFmtId="0" fontId="21" fillId="7" borderId="19" xfId="0" applyFont="1" applyFill="1" applyBorder="1" applyAlignment="1">
      <alignment horizontal="left" vertical="center"/>
    </xf>
    <xf numFmtId="0" fontId="2" fillId="3" borderId="27" xfId="0" applyFont="1" applyFill="1" applyBorder="1" applyAlignment="1">
      <alignment horizontal="left" vertical="center"/>
    </xf>
    <xf numFmtId="0" fontId="0" fillId="0" borderId="29" xfId="0" applyBorder="1"/>
    <xf numFmtId="0" fontId="25" fillId="3" borderId="11" xfId="0" applyFont="1" applyFill="1" applyBorder="1" applyAlignment="1">
      <alignment horizontal="center" vertical="center" wrapText="1"/>
    </xf>
    <xf numFmtId="164" fontId="26" fillId="7" borderId="28" xfId="0" applyNumberFormat="1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left" vertical="center"/>
    </xf>
    <xf numFmtId="0" fontId="2" fillId="3" borderId="19" xfId="0" applyFont="1" applyFill="1" applyBorder="1" applyAlignment="1">
      <alignment horizontal="left" vertical="center"/>
    </xf>
    <xf numFmtId="0" fontId="0" fillId="0" borderId="23" xfId="0" applyBorder="1"/>
    <xf numFmtId="165" fontId="10" fillId="7" borderId="16" xfId="0" applyNumberFormat="1" applyFont="1" applyFill="1" applyBorder="1" applyAlignment="1">
      <alignment horizontal="center" vertical="center"/>
    </xf>
    <xf numFmtId="0" fontId="20" fillId="7" borderId="15" xfId="0" applyFont="1" applyFill="1" applyBorder="1" applyAlignment="1">
      <alignment horizontal="left" vertical="center"/>
    </xf>
    <xf numFmtId="0" fontId="24" fillId="5" borderId="17" xfId="0" applyFont="1" applyFill="1" applyBorder="1" applyAlignment="1">
      <alignment horizontal="left" vertical="center"/>
    </xf>
    <xf numFmtId="165" fontId="24" fillId="5" borderId="30" xfId="0" applyNumberFormat="1" applyFont="1" applyFill="1" applyBorder="1" applyAlignment="1">
      <alignment horizontal="center" vertical="center"/>
    </xf>
    <xf numFmtId="165" fontId="24" fillId="5" borderId="18" xfId="0" applyNumberFormat="1" applyFont="1" applyFill="1" applyBorder="1" applyAlignment="1">
      <alignment horizontal="center" vertical="center"/>
    </xf>
    <xf numFmtId="0" fontId="20" fillId="7" borderId="31" xfId="0" applyFont="1" applyFill="1" applyBorder="1" applyAlignment="1">
      <alignment horizontal="left" vertical="center"/>
    </xf>
    <xf numFmtId="165" fontId="32" fillId="7" borderId="32" xfId="0" applyNumberFormat="1" applyFont="1" applyFill="1" applyBorder="1" applyAlignment="1">
      <alignment horizontal="right" vertical="center"/>
    </xf>
    <xf numFmtId="165" fontId="32" fillId="7" borderId="33" xfId="0" applyNumberFormat="1" applyFont="1" applyFill="1" applyBorder="1" applyAlignment="1">
      <alignment horizontal="right" vertical="center"/>
    </xf>
    <xf numFmtId="165" fontId="24" fillId="5" borderId="35" xfId="0" applyNumberFormat="1" applyFont="1" applyFill="1" applyBorder="1" applyAlignment="1">
      <alignment horizontal="center" vertical="center"/>
    </xf>
    <xf numFmtId="165" fontId="24" fillId="5" borderId="36" xfId="0" applyNumberFormat="1" applyFont="1" applyFill="1" applyBorder="1" applyAlignment="1">
      <alignment horizontal="center" vertical="center"/>
    </xf>
    <xf numFmtId="165" fontId="24" fillId="5" borderId="37" xfId="0" applyNumberFormat="1" applyFont="1" applyFill="1" applyBorder="1" applyAlignment="1">
      <alignment horizontal="center" vertical="center"/>
    </xf>
    <xf numFmtId="0" fontId="24" fillId="5" borderId="11" xfId="0" applyFont="1" applyFill="1" applyBorder="1" applyAlignment="1">
      <alignment horizontal="left" vertical="center"/>
    </xf>
    <xf numFmtId="0" fontId="33" fillId="7" borderId="38" xfId="0" applyFont="1" applyFill="1" applyBorder="1" applyAlignment="1">
      <alignment horizontal="left" vertical="center"/>
    </xf>
    <xf numFmtId="0" fontId="0" fillId="7" borderId="38" xfId="0" applyFill="1" applyBorder="1"/>
    <xf numFmtId="0" fontId="2" fillId="3" borderId="39" xfId="0" applyFont="1" applyFill="1" applyBorder="1" applyAlignment="1">
      <alignment horizontal="left" vertical="center"/>
    </xf>
    <xf numFmtId="0" fontId="0" fillId="0" borderId="40" xfId="0" applyBorder="1"/>
    <xf numFmtId="0" fontId="0" fillId="0" borderId="41" xfId="0" applyBorder="1"/>
    <xf numFmtId="0" fontId="11" fillId="7" borderId="15" xfId="0" applyFont="1" applyFill="1" applyBorder="1" applyAlignment="1">
      <alignment horizontal="left" vertical="center"/>
    </xf>
    <xf numFmtId="165" fontId="11" fillId="7" borderId="16" xfId="0" applyNumberFormat="1" applyFont="1" applyFill="1" applyBorder="1" applyAlignment="1">
      <alignment horizontal="center" vertical="center"/>
    </xf>
    <xf numFmtId="0" fontId="30" fillId="7" borderId="15" xfId="0" applyFont="1" applyFill="1" applyBorder="1" applyAlignment="1">
      <alignment horizontal="left" vertical="center"/>
    </xf>
    <xf numFmtId="0" fontId="0" fillId="7" borderId="16" xfId="0" applyFill="1" applyBorder="1"/>
    <xf numFmtId="0" fontId="11" fillId="7" borderId="17" xfId="0" applyFont="1" applyFill="1" applyBorder="1" applyAlignment="1">
      <alignment horizontal="left" vertical="center"/>
    </xf>
    <xf numFmtId="164" fontId="11" fillId="7" borderId="30" xfId="0" applyNumberFormat="1" applyFont="1" applyFill="1" applyBorder="1" applyAlignment="1">
      <alignment horizontal="center" vertical="center"/>
    </xf>
    <xf numFmtId="164" fontId="11" fillId="7" borderId="18" xfId="0" applyNumberFormat="1" applyFont="1" applyFill="1" applyBorder="1" applyAlignment="1">
      <alignment horizontal="center" vertical="center"/>
    </xf>
    <xf numFmtId="0" fontId="11" fillId="7" borderId="19" xfId="0" applyFont="1" applyFill="1" applyBorder="1" applyAlignment="1">
      <alignment horizontal="left" vertical="center"/>
    </xf>
    <xf numFmtId="165" fontId="11" fillId="7" borderId="28" xfId="0" applyNumberFormat="1" applyFont="1" applyFill="1" applyBorder="1" applyAlignment="1">
      <alignment horizontal="center" vertical="center"/>
    </xf>
    <xf numFmtId="165" fontId="11" fillId="7" borderId="20" xfId="0" applyNumberFormat="1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left" vertical="center"/>
    </xf>
    <xf numFmtId="0" fontId="38" fillId="7" borderId="15" xfId="0" applyFont="1" applyFill="1" applyBorder="1" applyAlignment="1">
      <alignment horizontal="left" vertical="center"/>
    </xf>
    <xf numFmtId="0" fontId="0" fillId="0" borderId="24" xfId="0" applyBorder="1"/>
    <xf numFmtId="165" fontId="24" fillId="12" borderId="28" xfId="0" applyNumberFormat="1" applyFont="1" applyFill="1" applyBorder="1" applyAlignment="1">
      <alignment horizontal="center" vertical="center"/>
    </xf>
    <xf numFmtId="0" fontId="28" fillId="7" borderId="31" xfId="0" applyFont="1" applyFill="1" applyBorder="1" applyAlignment="1">
      <alignment horizontal="left" vertical="center"/>
    </xf>
    <xf numFmtId="0" fontId="24" fillId="5" borderId="19" xfId="0" applyFont="1" applyFill="1" applyBorder="1" applyAlignment="1">
      <alignment horizontal="left" vertical="center"/>
    </xf>
    <xf numFmtId="165" fontId="24" fillId="5" borderId="28" xfId="0" applyNumberFormat="1" applyFont="1" applyFill="1" applyBorder="1" applyAlignment="1">
      <alignment horizontal="center" vertical="center"/>
    </xf>
    <xf numFmtId="165" fontId="24" fillId="5" borderId="20" xfId="0" applyNumberFormat="1" applyFont="1" applyFill="1" applyBorder="1" applyAlignment="1">
      <alignment horizontal="center" vertical="center"/>
    </xf>
    <xf numFmtId="0" fontId="24" fillId="12" borderId="19" xfId="0" applyFont="1" applyFill="1" applyBorder="1" applyAlignment="1">
      <alignment horizontal="left" vertical="center"/>
    </xf>
    <xf numFmtId="165" fontId="24" fillId="12" borderId="20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left" vertical="center"/>
    </xf>
    <xf numFmtId="165" fontId="32" fillId="7" borderId="38" xfId="0" applyNumberFormat="1" applyFont="1" applyFill="1" applyBorder="1" applyAlignment="1">
      <alignment horizontal="right" vertical="center"/>
    </xf>
    <xf numFmtId="0" fontId="24" fillId="4" borderId="15" xfId="0" applyFont="1" applyFill="1" applyBorder="1" applyAlignment="1">
      <alignment horizontal="left" vertical="center"/>
    </xf>
    <xf numFmtId="165" fontId="24" fillId="4" borderId="16" xfId="0" applyNumberFormat="1" applyFont="1" applyFill="1" applyBorder="1" applyAlignment="1">
      <alignment horizontal="center" vertical="center"/>
    </xf>
    <xf numFmtId="165" fontId="11" fillId="5" borderId="28" xfId="0" applyNumberFormat="1" applyFont="1" applyFill="1" applyBorder="1" applyAlignment="1">
      <alignment horizontal="center" vertical="center"/>
    </xf>
    <xf numFmtId="0" fontId="11" fillId="5" borderId="19" xfId="0" applyFont="1" applyFill="1" applyBorder="1" applyAlignment="1">
      <alignment horizontal="left" vertical="center"/>
    </xf>
    <xf numFmtId="165" fontId="11" fillId="5" borderId="20" xfId="0" applyNumberFormat="1" applyFont="1" applyFill="1" applyBorder="1" applyAlignment="1">
      <alignment horizontal="center" vertical="center"/>
    </xf>
    <xf numFmtId="0" fontId="24" fillId="13" borderId="17" xfId="0" applyFont="1" applyFill="1" applyBorder="1" applyAlignment="1">
      <alignment horizontal="left" vertical="center"/>
    </xf>
    <xf numFmtId="165" fontId="24" fillId="13" borderId="30" xfId="0" applyNumberFormat="1" applyFont="1" applyFill="1" applyBorder="1" applyAlignment="1">
      <alignment horizontal="center" vertical="center"/>
    </xf>
    <xf numFmtId="165" fontId="24" fillId="13" borderId="18" xfId="0" applyNumberFormat="1" applyFont="1" applyFill="1" applyBorder="1" applyAlignment="1">
      <alignment horizontal="center" vertical="center"/>
    </xf>
    <xf numFmtId="165" fontId="30" fillId="7" borderId="38" xfId="0" applyNumberFormat="1" applyFont="1" applyFill="1" applyBorder="1" applyAlignment="1">
      <alignment horizontal="right" vertical="center"/>
    </xf>
    <xf numFmtId="168" fontId="11" fillId="7" borderId="16" xfId="0" applyNumberFormat="1" applyFont="1" applyFill="1" applyBorder="1" applyAlignment="1">
      <alignment horizontal="center" vertical="center"/>
    </xf>
    <xf numFmtId="0" fontId="11" fillId="13" borderId="17" xfId="0" applyFont="1" applyFill="1" applyBorder="1" applyAlignment="1">
      <alignment horizontal="left" vertical="center"/>
    </xf>
    <xf numFmtId="165" fontId="11" fillId="13" borderId="30" xfId="0" applyNumberFormat="1" applyFont="1" applyFill="1" applyBorder="1" applyAlignment="1">
      <alignment horizontal="center" vertical="center"/>
    </xf>
    <xf numFmtId="165" fontId="11" fillId="13" borderId="18" xfId="0" applyNumberFormat="1" applyFont="1" applyFill="1" applyBorder="1" applyAlignment="1">
      <alignment horizontal="center" vertical="center"/>
    </xf>
    <xf numFmtId="165" fontId="24" fillId="10" borderId="16" xfId="0" applyNumberFormat="1" applyFont="1" applyFill="1" applyBorder="1" applyAlignment="1">
      <alignment horizontal="center" vertical="center"/>
    </xf>
    <xf numFmtId="165" fontId="11" fillId="7" borderId="30" xfId="0" applyNumberFormat="1" applyFont="1" applyFill="1" applyBorder="1" applyAlignment="1">
      <alignment horizontal="center" vertical="center"/>
    </xf>
    <xf numFmtId="165" fontId="24" fillId="10" borderId="18" xfId="0" applyNumberFormat="1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165" fontId="28" fillId="7" borderId="16" xfId="0" applyNumberFormat="1" applyFont="1" applyFill="1" applyBorder="1" applyAlignment="1">
      <alignment horizontal="right" vertical="center"/>
    </xf>
    <xf numFmtId="165" fontId="31" fillId="7" borderId="16" xfId="0" applyNumberFormat="1" applyFont="1" applyFill="1" applyBorder="1" applyAlignment="1">
      <alignment horizontal="right" vertical="center"/>
    </xf>
    <xf numFmtId="0" fontId="15" fillId="7" borderId="17" xfId="0" applyFont="1" applyFill="1" applyBorder="1" applyAlignment="1">
      <alignment horizontal="left" vertical="center"/>
    </xf>
    <xf numFmtId="167" fontId="11" fillId="7" borderId="42" xfId="0" applyNumberFormat="1" applyFont="1" applyFill="1" applyBorder="1" applyAlignment="1">
      <alignment horizontal="center" vertical="center"/>
    </xf>
    <xf numFmtId="0" fontId="0" fillId="0" borderId="43" xfId="0" applyBorder="1"/>
    <xf numFmtId="0" fontId="0" fillId="7" borderId="30" xfId="0" applyFill="1" applyBorder="1"/>
    <xf numFmtId="0" fontId="0" fillId="7" borderId="18" xfId="0" applyFill="1" applyBorder="1"/>
    <xf numFmtId="0" fontId="15" fillId="7" borderId="19" xfId="0" applyFont="1" applyFill="1" applyBorder="1" applyAlignment="1">
      <alignment horizontal="left" vertical="center"/>
    </xf>
    <xf numFmtId="0" fontId="27" fillId="0" borderId="20" xfId="0" applyFont="1" applyBorder="1" applyAlignment="1">
      <alignment horizontal="left" vertical="center" wrapText="1"/>
    </xf>
    <xf numFmtId="0" fontId="27" fillId="0" borderId="16" xfId="0" applyFont="1" applyBorder="1" applyAlignment="1">
      <alignment horizontal="left" vertical="center" wrapText="1"/>
    </xf>
    <xf numFmtId="0" fontId="24" fillId="4" borderId="17" xfId="0" applyFont="1" applyFill="1" applyBorder="1" applyAlignment="1">
      <alignment horizontal="left" vertical="center"/>
    </xf>
    <xf numFmtId="164" fontId="24" fillId="4" borderId="30" xfId="0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 wrapText="1"/>
    </xf>
    <xf numFmtId="0" fontId="9" fillId="10" borderId="15" xfId="0" applyFont="1" applyFill="1" applyBorder="1" applyAlignment="1">
      <alignment horizontal="left" vertical="center"/>
    </xf>
    <xf numFmtId="0" fontId="29" fillId="7" borderId="16" xfId="0" applyFont="1" applyFill="1" applyBorder="1"/>
    <xf numFmtId="165" fontId="26" fillId="7" borderId="30" xfId="0" applyNumberFormat="1" applyFont="1" applyFill="1" applyBorder="1" applyAlignment="1">
      <alignment horizontal="center" vertical="center"/>
    </xf>
    <xf numFmtId="164" fontId="26" fillId="7" borderId="30" xfId="0" applyNumberFormat="1" applyFont="1" applyFill="1" applyBorder="1" applyAlignment="1">
      <alignment horizontal="center" vertical="center"/>
    </xf>
    <xf numFmtId="167" fontId="26" fillId="7" borderId="30" xfId="0" applyNumberFormat="1" applyFont="1" applyFill="1" applyBorder="1" applyAlignment="1">
      <alignment horizontal="center" vertical="center"/>
    </xf>
    <xf numFmtId="0" fontId="19" fillId="2" borderId="21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16" borderId="0" xfId="0" applyFill="1"/>
    <xf numFmtId="0" fontId="20" fillId="11" borderId="46" xfId="0" applyFont="1" applyFill="1" applyBorder="1" applyAlignment="1">
      <alignment horizontal="left" vertical="center"/>
    </xf>
    <xf numFmtId="0" fontId="20" fillId="11" borderId="47" xfId="0" applyFont="1" applyFill="1" applyBorder="1" applyAlignment="1">
      <alignment horizontal="center" vertical="center"/>
    </xf>
    <xf numFmtId="0" fontId="20" fillId="7" borderId="46" xfId="0" applyFont="1" applyFill="1" applyBorder="1" applyAlignment="1">
      <alignment horizontal="left" vertical="center"/>
    </xf>
    <xf numFmtId="0" fontId="20" fillId="7" borderId="47" xfId="0" applyFont="1" applyFill="1" applyBorder="1" applyAlignment="1">
      <alignment horizontal="center" vertical="center"/>
    </xf>
    <xf numFmtId="0" fontId="20" fillId="7" borderId="48" xfId="0" applyFont="1" applyFill="1" applyBorder="1" applyAlignment="1">
      <alignment horizontal="left" vertical="center"/>
    </xf>
    <xf numFmtId="0" fontId="31" fillId="7" borderId="49" xfId="0" applyFont="1" applyFill="1" applyBorder="1" applyAlignment="1">
      <alignment horizontal="center" vertical="center"/>
    </xf>
    <xf numFmtId="0" fontId="20" fillId="7" borderId="49" xfId="0" applyFont="1" applyFill="1" applyBorder="1" applyAlignment="1">
      <alignment horizontal="center" vertical="center"/>
    </xf>
    <xf numFmtId="0" fontId="20" fillId="7" borderId="50" xfId="0" applyFont="1" applyFill="1" applyBorder="1" applyAlignment="1">
      <alignment horizontal="center" vertical="center"/>
    </xf>
    <xf numFmtId="0" fontId="20" fillId="11" borderId="51" xfId="0" applyFont="1" applyFill="1" applyBorder="1" applyAlignment="1">
      <alignment horizontal="left" vertical="center"/>
    </xf>
    <xf numFmtId="0" fontId="31" fillId="11" borderId="12" xfId="0" applyFont="1" applyFill="1" applyBorder="1" applyAlignment="1">
      <alignment horizontal="center" vertical="center"/>
    </xf>
    <xf numFmtId="0" fontId="20" fillId="11" borderId="12" xfId="0" applyFont="1" applyFill="1" applyBorder="1" applyAlignment="1">
      <alignment horizontal="center" vertical="center"/>
    </xf>
    <xf numFmtId="0" fontId="20" fillId="11" borderId="52" xfId="0" applyFont="1" applyFill="1" applyBorder="1" applyAlignment="1">
      <alignment horizontal="center" vertical="center"/>
    </xf>
    <xf numFmtId="0" fontId="30" fillId="14" borderId="11" xfId="0" applyFont="1" applyFill="1" applyBorder="1" applyAlignment="1">
      <alignment horizontal="center" vertical="center"/>
    </xf>
    <xf numFmtId="0" fontId="19" fillId="2" borderId="29" xfId="0" applyFont="1" applyFill="1" applyBorder="1" applyAlignment="1">
      <alignment horizontal="center" vertical="center"/>
    </xf>
    <xf numFmtId="0" fontId="19" fillId="2" borderId="22" xfId="0" applyFont="1" applyFill="1" applyBorder="1" applyAlignment="1">
      <alignment horizontal="center" vertical="center"/>
    </xf>
    <xf numFmtId="0" fontId="37" fillId="11" borderId="47" xfId="0" applyFont="1" applyFill="1" applyBorder="1" applyAlignment="1">
      <alignment horizontal="center" vertical="center"/>
    </xf>
    <xf numFmtId="0" fontId="37" fillId="7" borderId="47" xfId="0" applyFont="1" applyFill="1" applyBorder="1" applyAlignment="1">
      <alignment horizontal="center" vertical="center"/>
    </xf>
    <xf numFmtId="0" fontId="37" fillId="11" borderId="49" xfId="0" applyFont="1" applyFill="1" applyBorder="1" applyAlignment="1">
      <alignment horizontal="center" vertical="center"/>
    </xf>
    <xf numFmtId="0" fontId="37" fillId="7" borderId="49" xfId="0" applyFont="1" applyFill="1" applyBorder="1" applyAlignment="1">
      <alignment horizontal="center" vertical="center"/>
    </xf>
    <xf numFmtId="0" fontId="37" fillId="11" borderId="50" xfId="0" applyFont="1" applyFill="1" applyBorder="1" applyAlignment="1">
      <alignment horizontal="center" vertical="center"/>
    </xf>
    <xf numFmtId="0" fontId="30" fillId="17" borderId="53" xfId="0" applyFont="1" applyFill="1" applyBorder="1" applyAlignment="1">
      <alignment horizontal="center" vertical="center"/>
    </xf>
    <xf numFmtId="0" fontId="30" fillId="17" borderId="44" xfId="0" applyFont="1" applyFill="1" applyBorder="1" applyAlignment="1">
      <alignment horizontal="center" vertical="center"/>
    </xf>
    <xf numFmtId="0" fontId="30" fillId="17" borderId="45" xfId="0" applyFont="1" applyFill="1" applyBorder="1" applyAlignment="1">
      <alignment horizontal="center" vertical="center"/>
    </xf>
    <xf numFmtId="0" fontId="30" fillId="17" borderId="51" xfId="0" applyFont="1" applyFill="1" applyBorder="1" applyAlignment="1">
      <alignment horizontal="center" vertical="center"/>
    </xf>
    <xf numFmtId="0" fontId="30" fillId="17" borderId="46" xfId="0" applyFont="1" applyFill="1" applyBorder="1" applyAlignment="1">
      <alignment horizontal="center" vertical="center"/>
    </xf>
    <xf numFmtId="0" fontId="30" fillId="17" borderId="4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0" xfId="0" applyBorder="1"/>
    <xf numFmtId="0" fontId="0" fillId="0" borderId="56" xfId="0" applyBorder="1"/>
    <xf numFmtId="0" fontId="0" fillId="0" borderId="58" xfId="0" applyBorder="1"/>
    <xf numFmtId="0" fontId="0" fillId="0" borderId="59" xfId="0" applyBorder="1"/>
    <xf numFmtId="0" fontId="39" fillId="3" borderId="2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0" fillId="0" borderId="29" xfId="0" applyBorder="1"/>
    <xf numFmtId="0" fontId="0" fillId="0" borderId="0" xfId="0" applyBorder="1"/>
    <xf numFmtId="0" fontId="0" fillId="0" borderId="58" xfId="0" applyBorder="1"/>
    <xf numFmtId="0" fontId="1" fillId="2" borderId="54" xfId="0" applyFont="1" applyFill="1" applyBorder="1" applyAlignment="1">
      <alignment horizontal="center" vertical="center"/>
    </xf>
    <xf numFmtId="0" fontId="1" fillId="2" borderId="5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57" xfId="0" applyFont="1" applyFill="1" applyBorder="1" applyAlignment="1">
      <alignment horizontal="center" vertical="center"/>
    </xf>
    <xf numFmtId="0" fontId="1" fillId="2" borderId="58" xfId="0" applyFont="1" applyFill="1" applyBorder="1" applyAlignment="1">
      <alignment horizontal="center" vertical="center"/>
    </xf>
    <xf numFmtId="0" fontId="0" fillId="4" borderId="55" xfId="0" applyFill="1" applyBorder="1"/>
    <xf numFmtId="0" fontId="7" fillId="6" borderId="60" xfId="0" applyFont="1" applyFill="1" applyBorder="1" applyAlignment="1">
      <alignment horizontal="center" vertical="top"/>
    </xf>
    <xf numFmtId="0" fontId="7" fillId="7" borderId="60" xfId="0" applyFont="1" applyFill="1" applyBorder="1" applyAlignment="1">
      <alignment horizontal="center" vertical="top"/>
    </xf>
    <xf numFmtId="0" fontId="0" fillId="0" borderId="61" xfId="0" applyBorder="1"/>
    <xf numFmtId="0" fontId="0" fillId="4" borderId="16" xfId="0" applyFill="1" applyBorder="1"/>
    <xf numFmtId="0" fontId="0" fillId="8" borderId="16" xfId="0" applyFill="1" applyBorder="1"/>
    <xf numFmtId="165" fontId="10" fillId="7" borderId="30" xfId="0" applyNumberFormat="1" applyFont="1" applyFill="1" applyBorder="1" applyAlignment="1">
      <alignment horizontal="center" vertical="center"/>
    </xf>
    <xf numFmtId="165" fontId="9" fillId="7" borderId="30" xfId="0" applyNumberFormat="1" applyFont="1" applyFill="1" applyBorder="1" applyAlignment="1">
      <alignment horizontal="center" vertical="center"/>
    </xf>
    <xf numFmtId="165" fontId="9" fillId="8" borderId="30" xfId="0" applyNumberFormat="1" applyFont="1" applyFill="1" applyBorder="1" applyAlignment="1">
      <alignment horizontal="center" vertical="center"/>
    </xf>
    <xf numFmtId="0" fontId="0" fillId="8" borderId="30" xfId="0" applyFill="1" applyBorder="1"/>
    <xf numFmtId="0" fontId="0" fillId="8" borderId="18" xfId="0" applyFill="1" applyBorder="1"/>
    <xf numFmtId="0" fontId="13" fillId="9" borderId="30" xfId="0" applyFont="1" applyFill="1" applyBorder="1" applyAlignment="1">
      <alignment horizontal="center" vertical="center"/>
    </xf>
    <xf numFmtId="0" fontId="9" fillId="5" borderId="30" xfId="0" applyFont="1" applyFill="1" applyBorder="1" applyAlignment="1">
      <alignment horizontal="center" vertical="center"/>
    </xf>
    <xf numFmtId="0" fontId="16" fillId="6" borderId="30" xfId="0" applyFont="1" applyFill="1" applyBorder="1" applyAlignment="1">
      <alignment horizontal="center" vertical="center"/>
    </xf>
    <xf numFmtId="0" fontId="0" fillId="5" borderId="16" xfId="0" applyFill="1" applyBorder="1"/>
    <xf numFmtId="165" fontId="18" fillId="10" borderId="42" xfId="0" applyNumberFormat="1" applyFont="1" applyFill="1" applyBorder="1" applyAlignment="1">
      <alignment horizontal="center" vertical="center"/>
    </xf>
    <xf numFmtId="0" fontId="0" fillId="10" borderId="30" xfId="0" applyFill="1" applyBorder="1"/>
    <xf numFmtId="0" fontId="0" fillId="10" borderId="18" xfId="0" applyFill="1" applyBorder="1"/>
    <xf numFmtId="0" fontId="2" fillId="3" borderId="29" xfId="0" applyFont="1" applyFill="1" applyBorder="1" applyAlignment="1">
      <alignment horizontal="left" vertical="center"/>
    </xf>
    <xf numFmtId="0" fontId="2" fillId="3" borderId="22" xfId="0" applyFont="1" applyFill="1" applyBorder="1" applyAlignment="1">
      <alignment horizontal="left" vertical="center"/>
    </xf>
    <xf numFmtId="0" fontId="2" fillId="3" borderId="21" xfId="0" applyFont="1" applyFill="1" applyBorder="1" applyAlignment="1">
      <alignment vertical="center"/>
    </xf>
    <xf numFmtId="0" fontId="2" fillId="3" borderId="29" xfId="0" applyFont="1" applyFill="1" applyBorder="1" applyAlignment="1">
      <alignment vertical="center"/>
    </xf>
    <xf numFmtId="0" fontId="2" fillId="3" borderId="22" xfId="0" applyFont="1" applyFill="1" applyBorder="1" applyAlignment="1">
      <alignment vertical="center"/>
    </xf>
    <xf numFmtId="0" fontId="40" fillId="4" borderId="55" xfId="0" applyFont="1" applyFill="1" applyBorder="1"/>
    <xf numFmtId="0" fontId="39" fillId="18" borderId="0" xfId="0" applyFont="1" applyFill="1" applyBorder="1" applyAlignment="1">
      <alignment horizontal="center" vertical="center"/>
    </xf>
    <xf numFmtId="0" fontId="0" fillId="4" borderId="0" xfId="0" applyFill="1" applyBorder="1"/>
    <xf numFmtId="0" fontId="3" fillId="5" borderId="55" xfId="0" applyFont="1" applyFill="1" applyBorder="1" applyAlignment="1">
      <alignment horizontal="center"/>
    </xf>
    <xf numFmtId="165" fontId="4" fillId="5" borderId="55" xfId="0" applyNumberFormat="1" applyFont="1" applyFill="1" applyBorder="1" applyAlignment="1">
      <alignment horizontal="center" vertical="center"/>
    </xf>
    <xf numFmtId="0" fontId="6" fillId="5" borderId="55" xfId="0" applyFont="1" applyFill="1" applyBorder="1" applyAlignment="1">
      <alignment horizontal="center" vertical="center"/>
    </xf>
    <xf numFmtId="0" fontId="7" fillId="5" borderId="57" xfId="0" applyFont="1" applyFill="1" applyBorder="1" applyAlignment="1">
      <alignment horizontal="center" vertical="top"/>
    </xf>
    <xf numFmtId="0" fontId="3" fillId="7" borderId="62" xfId="0" applyFont="1" applyFill="1" applyBorder="1" applyAlignment="1">
      <alignment horizontal="center"/>
    </xf>
    <xf numFmtId="165" fontId="4" fillId="7" borderId="55" xfId="0" applyNumberFormat="1" applyFont="1" applyFill="1" applyBorder="1" applyAlignment="1">
      <alignment horizontal="center" vertical="center"/>
    </xf>
    <xf numFmtId="0" fontId="6" fillId="7" borderId="55" xfId="0" applyFont="1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top"/>
    </xf>
    <xf numFmtId="164" fontId="4" fillId="7" borderId="55" xfId="0" applyNumberFormat="1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9" fillId="7" borderId="15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9" fillId="7" borderId="17" xfId="0" applyFont="1" applyFill="1" applyBorder="1" applyAlignment="1">
      <alignment horizontal="center" vertical="center"/>
    </xf>
    <xf numFmtId="0" fontId="2" fillId="3" borderId="63" xfId="0" applyFont="1" applyFill="1" applyBorder="1" applyAlignment="1">
      <alignment horizontal="left" vertical="center"/>
    </xf>
    <xf numFmtId="0" fontId="2" fillId="3" borderId="40" xfId="0" applyFont="1" applyFill="1" applyBorder="1" applyAlignment="1">
      <alignment horizontal="left" vertical="center"/>
    </xf>
    <xf numFmtId="0" fontId="2" fillId="3" borderId="41" xfId="0" applyFont="1" applyFill="1" applyBorder="1" applyAlignment="1">
      <alignment horizontal="left" vertical="center"/>
    </xf>
    <xf numFmtId="0" fontId="8" fillId="3" borderId="28" xfId="0" applyFont="1" applyFill="1" applyBorder="1" applyAlignment="1">
      <alignment horizontal="center" vertical="center"/>
    </xf>
    <xf numFmtId="0" fontId="0" fillId="4" borderId="28" xfId="0" applyFill="1" applyBorder="1"/>
    <xf numFmtId="0" fontId="0" fillId="4" borderId="20" xfId="0" applyFill="1" applyBorder="1"/>
    <xf numFmtId="0" fontId="8" fillId="3" borderId="19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left" vertical="center"/>
    </xf>
    <xf numFmtId="0" fontId="12" fillId="7" borderId="15" xfId="0" applyFont="1" applyFill="1" applyBorder="1" applyAlignment="1">
      <alignment horizontal="left" vertical="center"/>
    </xf>
    <xf numFmtId="0" fontId="12" fillId="8" borderId="15" xfId="0" applyFont="1" applyFill="1" applyBorder="1" applyAlignment="1">
      <alignment horizontal="left" vertical="center"/>
    </xf>
    <xf numFmtId="0" fontId="9" fillId="7" borderId="15" xfId="0" applyFont="1" applyFill="1" applyBorder="1" applyAlignment="1">
      <alignment horizontal="left" vertical="center"/>
    </xf>
    <xf numFmtId="0" fontId="9" fillId="8" borderId="17" xfId="0" applyFont="1" applyFill="1" applyBorder="1" applyAlignment="1">
      <alignment horizontal="left" vertical="center"/>
    </xf>
    <xf numFmtId="0" fontId="12" fillId="8" borderId="64" xfId="0" applyFont="1" applyFill="1" applyBorder="1" applyAlignment="1">
      <alignment horizontal="left" vertical="center"/>
    </xf>
    <xf numFmtId="0" fontId="12" fillId="7" borderId="64" xfId="0" applyFont="1" applyFill="1" applyBorder="1" applyAlignment="1">
      <alignment horizontal="left" vertical="center"/>
    </xf>
    <xf numFmtId="0" fontId="9" fillId="5" borderId="64" xfId="0" applyFont="1" applyFill="1" applyBorder="1" applyAlignment="1">
      <alignment horizontal="left" vertical="center"/>
    </xf>
    <xf numFmtId="0" fontId="9" fillId="10" borderId="65" xfId="0" applyFont="1" applyFill="1" applyBorder="1" applyAlignment="1">
      <alignment horizontal="left" vertical="center"/>
    </xf>
    <xf numFmtId="0" fontId="25" fillId="3" borderId="21" xfId="0" applyFont="1" applyFill="1" applyBorder="1" applyAlignment="1">
      <alignment horizontal="left" vertical="center"/>
    </xf>
    <xf numFmtId="0" fontId="25" fillId="3" borderId="29" xfId="0" applyFont="1" applyFill="1" applyBorder="1" applyAlignment="1">
      <alignment horizontal="left" vertical="center"/>
    </xf>
    <xf numFmtId="0" fontId="25" fillId="3" borderId="22" xfId="0" applyFont="1" applyFill="1" applyBorder="1" applyAlignment="1">
      <alignment horizontal="left" vertical="center"/>
    </xf>
    <xf numFmtId="0" fontId="25" fillId="3" borderId="21" xfId="0" applyFont="1" applyFill="1" applyBorder="1" applyAlignment="1">
      <alignment horizontal="left" vertical="center" wrapText="1"/>
    </xf>
    <xf numFmtId="0" fontId="25" fillId="3" borderId="29" xfId="0" applyFont="1" applyFill="1" applyBorder="1" applyAlignment="1">
      <alignment horizontal="left" vertical="center" wrapText="1"/>
    </xf>
    <xf numFmtId="0" fontId="25" fillId="3" borderId="22" xfId="0" applyFont="1" applyFill="1" applyBorder="1" applyAlignment="1">
      <alignment horizontal="left" vertical="center" wrapText="1"/>
    </xf>
    <xf numFmtId="0" fontId="28" fillId="7" borderId="0" xfId="0" applyFont="1" applyFill="1" applyBorder="1" applyAlignment="1">
      <alignment horizontal="left" vertical="center"/>
    </xf>
    <xf numFmtId="166" fontId="28" fillId="7" borderId="0" xfId="0" applyNumberFormat="1" applyFont="1" applyFill="1" applyBorder="1" applyAlignment="1">
      <alignment horizontal="right" vertical="center"/>
    </xf>
    <xf numFmtId="0" fontId="29" fillId="7" borderId="0" xfId="0" applyFont="1" applyFill="1" applyBorder="1"/>
    <xf numFmtId="0" fontId="20" fillId="7" borderId="0" xfId="0" applyFont="1" applyFill="1" applyBorder="1" applyAlignment="1">
      <alignment horizontal="left" vertical="center"/>
    </xf>
    <xf numFmtId="165" fontId="31" fillId="7" borderId="0" xfId="0" applyNumberFormat="1" applyFont="1" applyFill="1" applyBorder="1" applyAlignment="1">
      <alignment horizontal="right" vertical="center"/>
    </xf>
    <xf numFmtId="166" fontId="31" fillId="7" borderId="0" xfId="0" applyNumberFormat="1" applyFont="1" applyFill="1" applyBorder="1" applyAlignment="1">
      <alignment horizontal="right" vertical="center"/>
    </xf>
    <xf numFmtId="0" fontId="0" fillId="7" borderId="0" xfId="0" applyFill="1" applyBorder="1"/>
    <xf numFmtId="0" fontId="39" fillId="3" borderId="29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56" xfId="0" applyFont="1" applyFill="1" applyBorder="1" applyAlignment="1">
      <alignment horizontal="center" vertical="center"/>
    </xf>
    <xf numFmtId="0" fontId="1" fillId="2" borderId="59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5F7FA"/>
      <rgbColor rgb="FFFF00FF"/>
      <rgbColor rgb="FF00FFFF"/>
      <rgbColor rgb="FF800000"/>
      <rgbColor rgb="FF008000"/>
      <rgbColor rgb="FF000080"/>
      <rgbColor rgb="FF808000"/>
      <rgbColor rgb="FF800080"/>
      <rgbColor rgb="FF1D6F42"/>
      <rgbColor rgb="FFB8B8B8"/>
      <rgbColor rgb="FF7F7F7F"/>
      <rgbColor rgb="FF95A5A6"/>
      <rgbColor rgb="FF993366"/>
      <rgbColor rgb="FFFDF3DC"/>
      <rgbColor rgb="FFE3F2FD"/>
      <rgbColor rgb="FF660066"/>
      <rgbColor rgb="FFE74C3C"/>
      <rgbColor rgb="FF2E75B6"/>
      <rgbColor rgb="FFC5CD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BF5EB"/>
      <rgbColor rgb="FFFFFFF0"/>
      <rgbColor rgb="FFD9E1F2"/>
      <rgbColor rgb="FFF0F4FA"/>
      <rgbColor rgb="FFE8ECF5"/>
      <rgbColor rgb="FFFDECEA"/>
      <rgbColor rgb="FF4472C4"/>
      <rgbColor rgb="FF33CCCC"/>
      <rgbColor rgb="FF99CC00"/>
      <rgbColor rgb="FFFFCC00"/>
      <rgbColor rgb="FFC9A84C"/>
      <rgbColor rgb="FFED7D31"/>
      <rgbColor rgb="FF9B59B6"/>
      <rgbColor rgb="FF8892A4"/>
      <rgbColor rgb="FF1A2C5B"/>
      <rgbColor rgb="FF70AD47"/>
      <rgbColor rgb="FF0D1B3E"/>
      <rgbColor rgb="FF1A1A2E"/>
      <rgbColor rgb="FFC0392B"/>
      <rgbColor rgb="FF993366"/>
      <rgbColor rgb="FF333399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54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C5B"/>
  </sheetPr>
  <dimension ref="B1:C17"/>
  <sheetViews>
    <sheetView showGridLines="0" zoomScale="125" zoomScaleNormal="100" workbookViewId="0">
      <selection activeCell="B24" sqref="B24"/>
    </sheetView>
  </sheetViews>
  <sheetFormatPr baseColWidth="10" defaultColWidth="8.83203125" defaultRowHeight="15" x14ac:dyDescent="0.2"/>
  <cols>
    <col min="1" max="1" width="3.33203125" customWidth="1"/>
    <col min="2" max="2" width="28" customWidth="1"/>
    <col min="3" max="3" width="47" customWidth="1"/>
  </cols>
  <sheetData>
    <row r="1" spans="2:3" ht="30" customHeight="1" thickBot="1" x14ac:dyDescent="0.25">
      <c r="B1" s="61" t="s">
        <v>0</v>
      </c>
      <c r="C1" s="62"/>
    </row>
    <row r="2" spans="2:3" ht="18" customHeight="1" thickBot="1" x14ac:dyDescent="0.25">
      <c r="B2" s="64" t="s">
        <v>1</v>
      </c>
      <c r="C2" s="63" t="s">
        <v>2</v>
      </c>
    </row>
    <row r="3" spans="2:3" ht="18" customHeight="1" thickBot="1" x14ac:dyDescent="0.25">
      <c r="B3" s="64" t="s">
        <v>3</v>
      </c>
      <c r="C3" s="65" t="s">
        <v>4</v>
      </c>
    </row>
    <row r="4" spans="2:3" ht="18" customHeight="1" thickBot="1" x14ac:dyDescent="0.25">
      <c r="B4" s="64" t="s">
        <v>5</v>
      </c>
      <c r="C4" s="65" t="s">
        <v>6</v>
      </c>
    </row>
    <row r="5" spans="2:3" ht="18" customHeight="1" thickBot="1" x14ac:dyDescent="0.25">
      <c r="B5" s="64" t="s">
        <v>7</v>
      </c>
      <c r="C5" s="65" t="s">
        <v>8</v>
      </c>
    </row>
    <row r="6" spans="2:3" ht="18" customHeight="1" thickBot="1" x14ac:dyDescent="0.25">
      <c r="B6" s="64" t="s">
        <v>9</v>
      </c>
      <c r="C6" s="65" t="s">
        <v>10</v>
      </c>
    </row>
    <row r="7" spans="2:3" ht="18" customHeight="1" thickBot="1" x14ac:dyDescent="0.25">
      <c r="B7" s="64" t="s">
        <v>11</v>
      </c>
      <c r="C7" s="65" t="s">
        <v>12</v>
      </c>
    </row>
    <row r="8" spans="2:3" ht="18" customHeight="1" thickBot="1" x14ac:dyDescent="0.25">
      <c r="B8" s="64" t="s">
        <v>13</v>
      </c>
      <c r="C8" s="65" t="s">
        <v>14</v>
      </c>
    </row>
    <row r="9" spans="2:3" ht="18" customHeight="1" thickBot="1" x14ac:dyDescent="0.25">
      <c r="B9" s="64" t="s">
        <v>15</v>
      </c>
      <c r="C9" s="65" t="s">
        <v>16</v>
      </c>
    </row>
    <row r="10" spans="2:3" ht="18" customHeight="1" thickBot="1" x14ac:dyDescent="0.25">
      <c r="B10" s="64" t="s">
        <v>17</v>
      </c>
      <c r="C10" s="66" t="s">
        <v>16</v>
      </c>
    </row>
    <row r="11" spans="2:3" ht="15" customHeight="1" thickBot="1" x14ac:dyDescent="0.25">
      <c r="B11" s="67"/>
      <c r="C11" s="67"/>
    </row>
    <row r="12" spans="2:3" ht="18" customHeight="1" thickBot="1" x14ac:dyDescent="0.25">
      <c r="B12" s="73" t="s">
        <v>18</v>
      </c>
      <c r="C12" s="62"/>
    </row>
    <row r="13" spans="2:3" ht="15.75" customHeight="1" x14ac:dyDescent="0.2">
      <c r="B13" s="72" t="s">
        <v>19</v>
      </c>
      <c r="C13" s="60" t="s">
        <v>20</v>
      </c>
    </row>
    <row r="14" spans="2:3" ht="15.75" customHeight="1" x14ac:dyDescent="0.2">
      <c r="B14" s="68" t="s">
        <v>21</v>
      </c>
      <c r="C14" s="58" t="s">
        <v>22</v>
      </c>
    </row>
    <row r="15" spans="2:3" ht="15.75" customHeight="1" x14ac:dyDescent="0.2">
      <c r="B15" s="69" t="s">
        <v>23</v>
      </c>
      <c r="C15" s="58" t="s">
        <v>24</v>
      </c>
    </row>
    <row r="16" spans="2:3" ht="15.75" customHeight="1" x14ac:dyDescent="0.2">
      <c r="B16" s="70" t="s">
        <v>25</v>
      </c>
      <c r="C16" s="58" t="s">
        <v>26</v>
      </c>
    </row>
    <row r="17" spans="2:3" ht="15.75" customHeight="1" thickBot="1" x14ac:dyDescent="0.25">
      <c r="B17" s="71" t="s">
        <v>27</v>
      </c>
      <c r="C17" s="59" t="s">
        <v>28</v>
      </c>
    </row>
  </sheetData>
  <mergeCells count="2">
    <mergeCell ref="B12:C12"/>
    <mergeCell ref="B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B1:N51"/>
  <sheetViews>
    <sheetView showGridLines="0" zoomScale="83" zoomScaleNormal="100" workbookViewId="0">
      <pane xSplit="2" ySplit="2" topLeftCell="C3" activePane="bottomRight" state="frozen"/>
      <selection pane="topRight" activeCell="B1" sqref="B1"/>
      <selection pane="bottomLeft" activeCell="A3" sqref="A3"/>
      <selection pane="bottomRight" activeCell="D59" sqref="D59"/>
    </sheetView>
  </sheetViews>
  <sheetFormatPr baseColWidth="10" defaultColWidth="8.83203125" defaultRowHeight="15" x14ac:dyDescent="0.2"/>
  <cols>
    <col min="1" max="1" width="3" customWidth="1"/>
    <col min="2" max="2" width="42" customWidth="1"/>
    <col min="3" max="13" width="12" customWidth="1"/>
    <col min="14" max="14" width="21.6640625" customWidth="1"/>
    <col min="15" max="15" width="50" customWidth="1"/>
  </cols>
  <sheetData>
    <row r="1" spans="2:14" ht="27.75" customHeight="1" thickBot="1" x14ac:dyDescent="0.25">
      <c r="B1" s="61" t="s">
        <v>29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62"/>
    </row>
    <row r="2" spans="2:14" ht="19.5" customHeight="1" thickBot="1" x14ac:dyDescent="0.25">
      <c r="B2" s="75" t="s">
        <v>30</v>
      </c>
      <c r="C2" s="75" t="s">
        <v>31</v>
      </c>
      <c r="D2" s="75" t="s">
        <v>32</v>
      </c>
      <c r="E2" s="75" t="s">
        <v>33</v>
      </c>
      <c r="F2" s="75" t="s">
        <v>34</v>
      </c>
      <c r="G2" s="75" t="s">
        <v>35</v>
      </c>
      <c r="H2" s="75" t="s">
        <v>36</v>
      </c>
      <c r="I2" s="75" t="s">
        <v>37</v>
      </c>
      <c r="J2" s="75" t="s">
        <v>38</v>
      </c>
      <c r="K2" s="75" t="s">
        <v>39</v>
      </c>
      <c r="L2" s="75" t="s">
        <v>40</v>
      </c>
      <c r="M2" s="75" t="s">
        <v>41</v>
      </c>
      <c r="N2" s="75" t="s">
        <v>42</v>
      </c>
    </row>
    <row r="3" spans="2:14" ht="15.75" customHeight="1" thickBot="1" x14ac:dyDescent="0.25">
      <c r="B3" s="75" t="s">
        <v>43</v>
      </c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</row>
    <row r="4" spans="2:14" ht="15" customHeight="1" x14ac:dyDescent="0.2">
      <c r="B4" s="143" t="s">
        <v>44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144" t="s">
        <v>45</v>
      </c>
    </row>
    <row r="5" spans="2:14" ht="15" customHeight="1" x14ac:dyDescent="0.2">
      <c r="B5" s="135" t="s">
        <v>46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145" t="s">
        <v>47</v>
      </c>
    </row>
    <row r="6" spans="2:14" ht="15" customHeight="1" x14ac:dyDescent="0.2">
      <c r="B6" s="135" t="s">
        <v>48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145" t="s">
        <v>49</v>
      </c>
    </row>
    <row r="7" spans="2:14" ht="15" customHeight="1" x14ac:dyDescent="0.2">
      <c r="B7" s="135" t="s">
        <v>50</v>
      </c>
      <c r="C7" s="6">
        <f t="shared" ref="C7:M7" si="0">C4+C6*C5</f>
        <v>0</v>
      </c>
      <c r="D7" s="6">
        <f t="shared" si="0"/>
        <v>0</v>
      </c>
      <c r="E7" s="6">
        <f t="shared" si="0"/>
        <v>0</v>
      </c>
      <c r="F7" s="6">
        <f t="shared" si="0"/>
        <v>0</v>
      </c>
      <c r="G7" s="6">
        <f t="shared" si="0"/>
        <v>0</v>
      </c>
      <c r="H7" s="6">
        <f t="shared" si="0"/>
        <v>0</v>
      </c>
      <c r="I7" s="6">
        <f t="shared" si="0"/>
        <v>0</v>
      </c>
      <c r="J7" s="6">
        <f t="shared" si="0"/>
        <v>0</v>
      </c>
      <c r="K7" s="6">
        <f t="shared" si="0"/>
        <v>0</v>
      </c>
      <c r="L7" s="6">
        <f t="shared" si="0"/>
        <v>0</v>
      </c>
      <c r="M7" s="6">
        <f t="shared" si="0"/>
        <v>0</v>
      </c>
      <c r="N7" s="145" t="s">
        <v>51</v>
      </c>
    </row>
    <row r="8" spans="2:14" ht="15" customHeight="1" x14ac:dyDescent="0.2">
      <c r="B8" s="135" t="s">
        <v>52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145" t="s">
        <v>53</v>
      </c>
    </row>
    <row r="9" spans="2:14" ht="15" customHeight="1" x14ac:dyDescent="0.2">
      <c r="B9" s="135" t="s">
        <v>54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145" t="s">
        <v>55</v>
      </c>
    </row>
    <row r="10" spans="2:14" ht="15" customHeight="1" x14ac:dyDescent="0.2">
      <c r="B10" s="135" t="s">
        <v>56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145" t="s">
        <v>57</v>
      </c>
    </row>
    <row r="11" spans="2:14" ht="15" customHeight="1" thickBot="1" x14ac:dyDescent="0.25">
      <c r="B11" s="146" t="s">
        <v>58</v>
      </c>
      <c r="C11" s="147">
        <f t="shared" ref="C11:M11" si="1">C7*(1-C10)+C8*(1-C9)*C10</f>
        <v>0</v>
      </c>
      <c r="D11" s="147">
        <f t="shared" si="1"/>
        <v>0</v>
      </c>
      <c r="E11" s="147">
        <f t="shared" si="1"/>
        <v>0</v>
      </c>
      <c r="F11" s="147">
        <f t="shared" si="1"/>
        <v>0</v>
      </c>
      <c r="G11" s="147">
        <f t="shared" si="1"/>
        <v>0</v>
      </c>
      <c r="H11" s="147">
        <f t="shared" si="1"/>
        <v>0</v>
      </c>
      <c r="I11" s="147">
        <f t="shared" si="1"/>
        <v>0</v>
      </c>
      <c r="J11" s="147">
        <f t="shared" si="1"/>
        <v>0</v>
      </c>
      <c r="K11" s="147">
        <f t="shared" si="1"/>
        <v>0</v>
      </c>
      <c r="L11" s="147">
        <f t="shared" si="1"/>
        <v>0</v>
      </c>
      <c r="M11" s="147">
        <f t="shared" si="1"/>
        <v>0</v>
      </c>
      <c r="N11" s="148" t="s">
        <v>59</v>
      </c>
    </row>
    <row r="12" spans="2:14" s="193" customFormat="1" ht="16" thickBot="1" x14ac:dyDescent="0.25">
      <c r="B12" s="261"/>
      <c r="C12" s="262"/>
      <c r="D12" s="262"/>
      <c r="E12" s="262"/>
      <c r="F12" s="262"/>
      <c r="G12" s="262"/>
      <c r="H12" s="262"/>
      <c r="I12" s="262"/>
      <c r="J12" s="262"/>
      <c r="K12" s="262"/>
      <c r="L12" s="262"/>
      <c r="M12" s="262"/>
      <c r="N12" s="263"/>
    </row>
    <row r="13" spans="2:14" ht="22" customHeight="1" thickBot="1" x14ac:dyDescent="0.25">
      <c r="B13" s="255" t="s">
        <v>60</v>
      </c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7"/>
    </row>
    <row r="14" spans="2:14" ht="13.5" customHeight="1" x14ac:dyDescent="0.2">
      <c r="B14" s="149" t="s">
        <v>61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109"/>
    </row>
    <row r="15" spans="2:14" ht="36" x14ac:dyDescent="0.2">
      <c r="B15" s="135" t="s">
        <v>62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145" t="s">
        <v>63</v>
      </c>
    </row>
    <row r="16" spans="2:14" ht="15" customHeight="1" x14ac:dyDescent="0.2">
      <c r="B16" s="135" t="s">
        <v>64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145" t="s">
        <v>65</v>
      </c>
    </row>
    <row r="17" spans="2:14" ht="15" customHeight="1" x14ac:dyDescent="0.2">
      <c r="B17" s="135" t="s">
        <v>66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145" t="s">
        <v>67</v>
      </c>
    </row>
    <row r="18" spans="2:14" ht="15" customHeight="1" x14ac:dyDescent="0.2">
      <c r="B18" s="135" t="s">
        <v>68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145" t="s">
        <v>69</v>
      </c>
    </row>
    <row r="19" spans="2:14" ht="15" customHeight="1" x14ac:dyDescent="0.2">
      <c r="B19" s="135" t="s">
        <v>70</v>
      </c>
      <c r="C19" s="24">
        <f t="shared" ref="C19:M19" si="2">IFERROR(C18*C17,0)</f>
        <v>0</v>
      </c>
      <c r="D19" s="24">
        <f t="shared" si="2"/>
        <v>0</v>
      </c>
      <c r="E19" s="24">
        <f t="shared" si="2"/>
        <v>0</v>
      </c>
      <c r="F19" s="24">
        <f t="shared" si="2"/>
        <v>0</v>
      </c>
      <c r="G19" s="24">
        <f t="shared" si="2"/>
        <v>0</v>
      </c>
      <c r="H19" s="24">
        <f t="shared" si="2"/>
        <v>0</v>
      </c>
      <c r="I19" s="24">
        <f t="shared" si="2"/>
        <v>0</v>
      </c>
      <c r="J19" s="24">
        <f t="shared" si="2"/>
        <v>0</v>
      </c>
      <c r="K19" s="24">
        <f t="shared" si="2"/>
        <v>0</v>
      </c>
      <c r="L19" s="24">
        <f t="shared" si="2"/>
        <v>0</v>
      </c>
      <c r="M19" s="24">
        <f t="shared" si="2"/>
        <v>0</v>
      </c>
      <c r="N19" s="145" t="s">
        <v>71</v>
      </c>
    </row>
    <row r="20" spans="2:14" ht="6" customHeight="1" x14ac:dyDescent="0.2">
      <c r="B20" s="99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100"/>
    </row>
    <row r="21" spans="2:14" ht="13.5" customHeight="1" x14ac:dyDescent="0.2">
      <c r="B21" s="149" t="s">
        <v>72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109"/>
    </row>
    <row r="22" spans="2:14" ht="15" customHeight="1" x14ac:dyDescent="0.2">
      <c r="B22" s="135" t="s">
        <v>73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145" t="s">
        <v>74</v>
      </c>
    </row>
    <row r="23" spans="2:14" ht="15" customHeight="1" x14ac:dyDescent="0.2">
      <c r="B23" s="135" t="s">
        <v>75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145" t="s">
        <v>76</v>
      </c>
    </row>
    <row r="24" spans="2:14" ht="15" customHeight="1" x14ac:dyDescent="0.2">
      <c r="B24" s="135" t="s">
        <v>77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145" t="s">
        <v>78</v>
      </c>
    </row>
    <row r="25" spans="2:14" ht="15" customHeight="1" x14ac:dyDescent="0.2">
      <c r="B25" s="135" t="s">
        <v>79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145" t="s">
        <v>80</v>
      </c>
    </row>
    <row r="26" spans="2:14" ht="15" customHeight="1" x14ac:dyDescent="0.2">
      <c r="B26" s="135" t="s">
        <v>81</v>
      </c>
      <c r="C26" s="24">
        <f t="shared" ref="C26:M26" si="3">IFERROR(C25*C24,0)</f>
        <v>0</v>
      </c>
      <c r="D26" s="24">
        <f t="shared" si="3"/>
        <v>0</v>
      </c>
      <c r="E26" s="24">
        <f t="shared" si="3"/>
        <v>0</v>
      </c>
      <c r="F26" s="24">
        <f t="shared" si="3"/>
        <v>0</v>
      </c>
      <c r="G26" s="24">
        <f t="shared" si="3"/>
        <v>0</v>
      </c>
      <c r="H26" s="24">
        <f t="shared" si="3"/>
        <v>0</v>
      </c>
      <c r="I26" s="24">
        <f t="shared" si="3"/>
        <v>0</v>
      </c>
      <c r="J26" s="24">
        <f t="shared" si="3"/>
        <v>0</v>
      </c>
      <c r="K26" s="24">
        <f t="shared" si="3"/>
        <v>0</v>
      </c>
      <c r="L26" s="24">
        <f t="shared" si="3"/>
        <v>0</v>
      </c>
      <c r="M26" s="24">
        <f t="shared" si="3"/>
        <v>0</v>
      </c>
      <c r="N26" s="145" t="s">
        <v>71</v>
      </c>
    </row>
    <row r="27" spans="2:14" ht="6" customHeight="1" x14ac:dyDescent="0.2">
      <c r="B27" s="81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150"/>
    </row>
    <row r="28" spans="2:14" ht="13.5" customHeight="1" x14ac:dyDescent="0.2">
      <c r="B28" s="149" t="s">
        <v>82</v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109"/>
    </row>
    <row r="29" spans="2:14" ht="15" customHeight="1" x14ac:dyDescent="0.2">
      <c r="B29" s="135" t="s">
        <v>83</v>
      </c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145" t="s">
        <v>84</v>
      </c>
    </row>
    <row r="30" spans="2:14" ht="15" customHeight="1" x14ac:dyDescent="0.2">
      <c r="B30" s="135" t="s">
        <v>85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145" t="s">
        <v>84</v>
      </c>
    </row>
    <row r="31" spans="2:14" ht="15" customHeight="1" x14ac:dyDescent="0.2">
      <c r="B31" s="135" t="s">
        <v>86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145" t="s">
        <v>87</v>
      </c>
    </row>
    <row r="32" spans="2:14" ht="15" customHeight="1" thickBot="1" x14ac:dyDescent="0.25">
      <c r="B32" s="138" t="s">
        <v>88</v>
      </c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48" t="s">
        <v>87</v>
      </c>
    </row>
    <row r="33" spans="2:14" s="193" customFormat="1" ht="16" thickBot="1" x14ac:dyDescent="0.25">
      <c r="B33" s="264"/>
      <c r="C33" s="265"/>
      <c r="D33" s="265"/>
      <c r="E33" s="265"/>
      <c r="F33" s="265"/>
      <c r="G33" s="265"/>
      <c r="H33" s="265"/>
      <c r="I33" s="265"/>
      <c r="J33" s="265"/>
      <c r="K33" s="265"/>
      <c r="L33" s="265"/>
      <c r="M33" s="265"/>
      <c r="N33" s="263"/>
    </row>
    <row r="34" spans="2:14" ht="15.75" customHeight="1" thickBot="1" x14ac:dyDescent="0.25">
      <c r="B34" s="258" t="s">
        <v>89</v>
      </c>
      <c r="C34" s="259"/>
      <c r="D34" s="259"/>
      <c r="E34" s="259"/>
      <c r="F34" s="259"/>
      <c r="G34" s="259"/>
      <c r="H34" s="259"/>
      <c r="I34" s="259"/>
      <c r="J34" s="259"/>
      <c r="K34" s="259"/>
      <c r="L34" s="259"/>
      <c r="M34" s="259"/>
      <c r="N34" s="260"/>
    </row>
    <row r="35" spans="2:14" ht="15" customHeight="1" x14ac:dyDescent="0.2">
      <c r="B35" s="135" t="s">
        <v>90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145" t="s">
        <v>91</v>
      </c>
    </row>
    <row r="36" spans="2:14" ht="15" customHeight="1" x14ac:dyDescent="0.2">
      <c r="B36" s="135" t="s">
        <v>92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145" t="s">
        <v>93</v>
      </c>
    </row>
    <row r="37" spans="2:14" ht="15" customHeight="1" x14ac:dyDescent="0.2">
      <c r="B37" s="135" t="s">
        <v>94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145" t="s">
        <v>95</v>
      </c>
    </row>
    <row r="38" spans="2:14" ht="15" customHeight="1" x14ac:dyDescent="0.2">
      <c r="B38" s="135" t="s">
        <v>96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145" t="s">
        <v>97</v>
      </c>
    </row>
    <row r="39" spans="2:14" ht="15" customHeight="1" x14ac:dyDescent="0.2">
      <c r="B39" s="135" t="s">
        <v>98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145" t="s">
        <v>99</v>
      </c>
    </row>
    <row r="40" spans="2:14" ht="15" customHeight="1" x14ac:dyDescent="0.2">
      <c r="B40" s="135" t="s">
        <v>100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145" t="s">
        <v>101</v>
      </c>
    </row>
    <row r="41" spans="2:14" ht="15" customHeight="1" thickBot="1" x14ac:dyDescent="0.25">
      <c r="B41" s="138" t="s">
        <v>102</v>
      </c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48" t="s">
        <v>103</v>
      </c>
    </row>
    <row r="42" spans="2:14" s="193" customFormat="1" ht="16" thickBot="1" x14ac:dyDescent="0.25">
      <c r="B42" s="264"/>
      <c r="C42" s="266"/>
      <c r="D42" s="266"/>
      <c r="E42" s="266"/>
      <c r="F42" s="266"/>
      <c r="G42" s="266"/>
      <c r="H42" s="266"/>
      <c r="I42" s="266"/>
      <c r="J42" s="266"/>
      <c r="K42" s="266"/>
      <c r="L42" s="266"/>
      <c r="M42" s="266"/>
      <c r="N42" s="263"/>
    </row>
    <row r="43" spans="2:14" ht="15.75" customHeight="1" thickBot="1" x14ac:dyDescent="0.25">
      <c r="B43" s="258" t="s">
        <v>104</v>
      </c>
      <c r="C43" s="259"/>
      <c r="D43" s="259"/>
      <c r="E43" s="259"/>
      <c r="F43" s="259"/>
      <c r="G43" s="259"/>
      <c r="H43" s="259"/>
      <c r="I43" s="259"/>
      <c r="J43" s="259"/>
      <c r="K43" s="259"/>
      <c r="L43" s="259"/>
      <c r="M43" s="259"/>
      <c r="N43" s="260"/>
    </row>
    <row r="44" spans="2:14" ht="15" customHeight="1" x14ac:dyDescent="0.2">
      <c r="B44" s="135" t="s">
        <v>105</v>
      </c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145" t="s">
        <v>106</v>
      </c>
    </row>
    <row r="45" spans="2:14" ht="15" customHeight="1" x14ac:dyDescent="0.2">
      <c r="B45" s="135" t="s">
        <v>107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145" t="s">
        <v>108</v>
      </c>
    </row>
    <row r="46" spans="2:14" ht="15" customHeight="1" thickBot="1" x14ac:dyDescent="0.25">
      <c r="B46" s="138" t="s">
        <v>109</v>
      </c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48" t="s">
        <v>110</v>
      </c>
    </row>
    <row r="47" spans="2:14" s="193" customFormat="1" ht="16" thickBot="1" x14ac:dyDescent="0.25">
      <c r="B47" s="267"/>
      <c r="C47" s="267"/>
      <c r="D47" s="267"/>
      <c r="E47" s="267"/>
      <c r="F47" s="267"/>
      <c r="G47" s="267"/>
      <c r="H47" s="267"/>
      <c r="I47" s="267"/>
      <c r="J47" s="267"/>
      <c r="K47" s="267"/>
      <c r="L47" s="267"/>
      <c r="M47" s="267"/>
      <c r="N47" s="267"/>
    </row>
    <row r="48" spans="2:14" ht="15.75" customHeight="1" thickBot="1" x14ac:dyDescent="0.25">
      <c r="B48" s="258" t="s">
        <v>111</v>
      </c>
      <c r="C48" s="259"/>
      <c r="D48" s="259"/>
      <c r="E48" s="259"/>
      <c r="F48" s="259"/>
      <c r="G48" s="259"/>
      <c r="H48" s="259"/>
      <c r="I48" s="259"/>
      <c r="J48" s="259"/>
      <c r="K48" s="259"/>
      <c r="L48" s="259"/>
      <c r="M48" s="259"/>
      <c r="N48" s="260"/>
    </row>
    <row r="49" spans="2:14" ht="15" customHeight="1" x14ac:dyDescent="0.2">
      <c r="B49" s="135" t="s">
        <v>112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145" t="s">
        <v>113</v>
      </c>
    </row>
    <row r="50" spans="2:14" ht="49" thickBot="1" x14ac:dyDescent="0.25">
      <c r="B50" s="138" t="s">
        <v>114</v>
      </c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48" t="s">
        <v>115</v>
      </c>
    </row>
    <row r="51" spans="2:14" s="193" customFormat="1" x14ac:dyDescent="0.2">
      <c r="B51" s="267"/>
      <c r="C51" s="267"/>
      <c r="D51" s="267"/>
      <c r="E51" s="267"/>
      <c r="F51" s="267"/>
      <c r="G51" s="267"/>
      <c r="H51" s="267"/>
      <c r="I51" s="267"/>
      <c r="J51" s="267"/>
      <c r="K51" s="267"/>
      <c r="L51" s="267"/>
      <c r="M51" s="267"/>
      <c r="N51" s="267"/>
    </row>
  </sheetData>
  <mergeCells count="8">
    <mergeCell ref="B13:N13"/>
    <mergeCell ref="B14:N14"/>
    <mergeCell ref="B1:N1"/>
    <mergeCell ref="B34:N34"/>
    <mergeCell ref="B48:N48"/>
    <mergeCell ref="B21:N21"/>
    <mergeCell ref="B43:N43"/>
    <mergeCell ref="B28:N2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B1:M18"/>
  <sheetViews>
    <sheetView showGridLines="0" zoomScaleNormal="100" workbookViewId="0">
      <pane xSplit="2" ySplit="2" topLeftCell="C3" activePane="bottomRight" state="frozen"/>
      <selection pane="topRight" activeCell="B1" sqref="B1"/>
      <selection pane="bottomLeft" activeCell="A3" sqref="A3"/>
      <selection pane="bottomRight" activeCell="D26" sqref="D26"/>
    </sheetView>
  </sheetViews>
  <sheetFormatPr baseColWidth="10" defaultColWidth="8.83203125" defaultRowHeight="15" x14ac:dyDescent="0.2"/>
  <cols>
    <col min="1" max="1" width="4.33203125" customWidth="1"/>
    <col min="2" max="2" width="42" customWidth="1"/>
    <col min="3" max="14" width="12" customWidth="1"/>
  </cols>
  <sheetData>
    <row r="1" spans="2:13" ht="27.75" customHeight="1" thickBot="1" x14ac:dyDescent="0.25">
      <c r="B1" s="61" t="s">
        <v>116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62"/>
    </row>
    <row r="2" spans="2:13" ht="19.5" customHeight="1" thickBot="1" x14ac:dyDescent="0.25">
      <c r="B2" s="75"/>
      <c r="C2" s="75" t="s">
        <v>31</v>
      </c>
      <c r="D2" s="75" t="s">
        <v>32</v>
      </c>
      <c r="E2" s="75" t="s">
        <v>33</v>
      </c>
      <c r="F2" s="75" t="s">
        <v>34</v>
      </c>
      <c r="G2" s="75" t="s">
        <v>35</v>
      </c>
      <c r="H2" s="75" t="s">
        <v>36</v>
      </c>
      <c r="I2" s="75" t="s">
        <v>37</v>
      </c>
      <c r="J2" s="75" t="s">
        <v>38</v>
      </c>
      <c r="K2" s="75" t="s">
        <v>39</v>
      </c>
      <c r="L2" s="75" t="s">
        <v>40</v>
      </c>
      <c r="M2" s="75" t="s">
        <v>41</v>
      </c>
    </row>
    <row r="3" spans="2:13" ht="15.75" customHeight="1" x14ac:dyDescent="0.2">
      <c r="B3" s="78" t="s">
        <v>117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79"/>
    </row>
    <row r="4" spans="2:13" ht="15" customHeight="1" x14ac:dyDescent="0.2">
      <c r="B4" s="108" t="s">
        <v>118</v>
      </c>
      <c r="C4" s="4">
        <f>Assumptions!C16+Assumptions!C19</f>
        <v>0</v>
      </c>
      <c r="D4" s="4">
        <f>Assumptions!D19</f>
        <v>0</v>
      </c>
      <c r="E4" s="4">
        <f>Assumptions!E19</f>
        <v>0</v>
      </c>
      <c r="F4" s="4">
        <f>Assumptions!F19</f>
        <v>0</v>
      </c>
      <c r="G4" s="4">
        <f>Assumptions!G19</f>
        <v>0</v>
      </c>
      <c r="H4" s="4">
        <f>Assumptions!H19</f>
        <v>0</v>
      </c>
      <c r="I4" s="4">
        <f>Assumptions!I19</f>
        <v>0</v>
      </c>
      <c r="J4" s="4">
        <f>Assumptions!J19</f>
        <v>0</v>
      </c>
      <c r="K4" s="4">
        <f>Assumptions!K19</f>
        <v>0</v>
      </c>
      <c r="L4" s="4">
        <f>Assumptions!L19</f>
        <v>0</v>
      </c>
      <c r="M4" s="80">
        <f>Assumptions!M19</f>
        <v>0</v>
      </c>
    </row>
    <row r="5" spans="2:13" ht="15" customHeight="1" x14ac:dyDescent="0.2">
      <c r="B5" s="108" t="s">
        <v>119</v>
      </c>
      <c r="C5" s="4">
        <f>IFERROR(Assumptions!C26,0)</f>
        <v>0</v>
      </c>
      <c r="D5" s="4">
        <f>IFERROR(Assumptions!D26,0)</f>
        <v>0</v>
      </c>
      <c r="E5" s="4">
        <f>IFERROR(Assumptions!E26,0)</f>
        <v>0</v>
      </c>
      <c r="F5" s="4">
        <f>IFERROR(Assumptions!F23,0)+IFERROR(Assumptions!F26,0)</f>
        <v>0</v>
      </c>
      <c r="G5" s="4">
        <f>IFERROR(Assumptions!G23,0)+IFERROR(Assumptions!G26,0)</f>
        <v>0</v>
      </c>
      <c r="H5" s="4">
        <f>IFERROR(Assumptions!H23,0)+IFERROR(Assumptions!H26,0)</f>
        <v>0</v>
      </c>
      <c r="I5" s="4">
        <f>IFERROR(Assumptions!I26,0)</f>
        <v>0</v>
      </c>
      <c r="J5" s="4">
        <f>IFERROR(Assumptions!J26,0)</f>
        <v>0</v>
      </c>
      <c r="K5" s="4">
        <f>IFERROR(Assumptions!K26,0)</f>
        <v>0</v>
      </c>
      <c r="L5" s="4">
        <f>IFERROR(Assumptions!L26,0)</f>
        <v>0</v>
      </c>
      <c r="M5" s="80">
        <f>IFERROR(Assumptions!M26,0)</f>
        <v>0</v>
      </c>
    </row>
    <row r="6" spans="2:13" ht="15" customHeight="1" x14ac:dyDescent="0.2">
      <c r="B6" s="108" t="s">
        <v>120</v>
      </c>
      <c r="C6" s="4">
        <f>IFERROR(Assumptions!C29,0)</f>
        <v>0</v>
      </c>
      <c r="D6" s="4">
        <f>IFERROR(Assumptions!D29,0)</f>
        <v>0</v>
      </c>
      <c r="E6" s="4">
        <f>IFERROR(Assumptions!E29,0)</f>
        <v>0</v>
      </c>
      <c r="F6" s="4">
        <f>IFERROR(Assumptions!F29,0)</f>
        <v>0</v>
      </c>
      <c r="G6" s="4">
        <f>IFERROR(Assumptions!G29,0)</f>
        <v>0</v>
      </c>
      <c r="H6" s="4">
        <f>IFERROR(Assumptions!H29,0)</f>
        <v>0</v>
      </c>
      <c r="I6" s="4">
        <f>IFERROR(Assumptions!I29,0)</f>
        <v>0</v>
      </c>
      <c r="J6" s="4">
        <f>IFERROR(Assumptions!J29,0)</f>
        <v>0</v>
      </c>
      <c r="K6" s="4">
        <f>IFERROR(Assumptions!K29,0)</f>
        <v>0</v>
      </c>
      <c r="L6" s="4">
        <f>IFERROR(Assumptions!L29,0)</f>
        <v>0</v>
      </c>
      <c r="M6" s="80">
        <f>IFERROR(Assumptions!M29,0)</f>
        <v>0</v>
      </c>
    </row>
    <row r="7" spans="2:13" ht="15" customHeight="1" x14ac:dyDescent="0.2">
      <c r="B7" s="108" t="s">
        <v>121</v>
      </c>
      <c r="C7" s="4">
        <f>IFERROR(Assumptions!C30,0)</f>
        <v>0</v>
      </c>
      <c r="D7" s="4">
        <f>IFERROR(Assumptions!D30,0)</f>
        <v>0</v>
      </c>
      <c r="E7" s="4">
        <f>IFERROR(Assumptions!E30,0)</f>
        <v>0</v>
      </c>
      <c r="F7" s="4">
        <f>IFERROR(Assumptions!F30,0)</f>
        <v>0</v>
      </c>
      <c r="G7" s="4">
        <f>IFERROR(Assumptions!G30,0)</f>
        <v>0</v>
      </c>
      <c r="H7" s="4">
        <f>IFERROR(Assumptions!H30,0)</f>
        <v>0</v>
      </c>
      <c r="I7" s="4">
        <f>IFERROR(Assumptions!I30,0)</f>
        <v>0</v>
      </c>
      <c r="J7" s="4">
        <f>IFERROR(Assumptions!J30,0)</f>
        <v>0</v>
      </c>
      <c r="K7" s="4">
        <f>IFERROR(Assumptions!K30,0)</f>
        <v>0</v>
      </c>
      <c r="L7" s="4">
        <f>IFERROR(Assumptions!L30,0)</f>
        <v>0</v>
      </c>
      <c r="M7" s="80">
        <f>IFERROR(Assumptions!M30,0)</f>
        <v>0</v>
      </c>
    </row>
    <row r="8" spans="2:13" ht="15" customHeight="1" x14ac:dyDescent="0.2">
      <c r="B8" s="108" t="s">
        <v>122</v>
      </c>
      <c r="C8" s="4">
        <f>IFERROR(Assumptions!C31,0)</f>
        <v>0</v>
      </c>
      <c r="D8" s="4">
        <f>IFERROR(Assumptions!D31,0)</f>
        <v>0</v>
      </c>
      <c r="E8" s="4">
        <f>IFERROR(Assumptions!E31,0)</f>
        <v>0</v>
      </c>
      <c r="F8" s="4">
        <f>IFERROR(Assumptions!F31,0)</f>
        <v>0</v>
      </c>
      <c r="G8" s="4">
        <f>IFERROR(Assumptions!G31,0)</f>
        <v>0</v>
      </c>
      <c r="H8" s="4">
        <f>IFERROR(Assumptions!H31,0)</f>
        <v>0</v>
      </c>
      <c r="I8" s="4">
        <f>IFERROR(Assumptions!I31,0)</f>
        <v>0</v>
      </c>
      <c r="J8" s="4">
        <f>IFERROR(Assumptions!J31,0)</f>
        <v>0</v>
      </c>
      <c r="K8" s="4">
        <f>IFERROR(Assumptions!K31,0)</f>
        <v>0</v>
      </c>
      <c r="L8" s="4">
        <f>IFERROR(Assumptions!L31,0)</f>
        <v>0</v>
      </c>
      <c r="M8" s="80">
        <f>IFERROR(Assumptions!M31,0)</f>
        <v>0</v>
      </c>
    </row>
    <row r="9" spans="2:13" ht="15" customHeight="1" x14ac:dyDescent="0.2">
      <c r="B9" s="108" t="s">
        <v>123</v>
      </c>
      <c r="C9" s="4">
        <f>IFERROR(Assumptions!C32,0)</f>
        <v>0</v>
      </c>
      <c r="D9" s="4">
        <f>IFERROR(Assumptions!D32,0)</f>
        <v>0</v>
      </c>
      <c r="E9" s="4">
        <f>IFERROR(Assumptions!E32,0)</f>
        <v>0</v>
      </c>
      <c r="F9" s="4">
        <f>IFERROR(Assumptions!F32,0)</f>
        <v>0</v>
      </c>
      <c r="G9" s="4">
        <f>IFERROR(Assumptions!G32,0)</f>
        <v>0</v>
      </c>
      <c r="H9" s="4">
        <f>IFERROR(Assumptions!H32,0)</f>
        <v>0</v>
      </c>
      <c r="I9" s="4">
        <f>IFERROR(Assumptions!I32,0)</f>
        <v>0</v>
      </c>
      <c r="J9" s="4">
        <f>IFERROR(Assumptions!J32,0)</f>
        <v>0</v>
      </c>
      <c r="K9" s="4">
        <f>IFERROR(Assumptions!K32,0)</f>
        <v>0</v>
      </c>
      <c r="L9" s="4">
        <f>IFERROR(Assumptions!L32,0)</f>
        <v>0</v>
      </c>
      <c r="M9" s="80">
        <f>IFERROR(Assumptions!M32,0)</f>
        <v>0</v>
      </c>
    </row>
    <row r="10" spans="2:13" ht="20" customHeight="1" thickBot="1" x14ac:dyDescent="0.25">
      <c r="B10" s="85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7"/>
    </row>
    <row r="11" spans="2:13" ht="15.75" customHeight="1" thickBot="1" x14ac:dyDescent="0.25">
      <c r="B11" s="91" t="s">
        <v>124</v>
      </c>
      <c r="C11" s="90">
        <f t="shared" ref="C11:M11" si="0">SUM(C4,C5,C6,C7,C8,C9)</f>
        <v>0</v>
      </c>
      <c r="D11" s="88">
        <f t="shared" si="0"/>
        <v>0</v>
      </c>
      <c r="E11" s="88">
        <f t="shared" si="0"/>
        <v>0</v>
      </c>
      <c r="F11" s="88">
        <f t="shared" si="0"/>
        <v>0</v>
      </c>
      <c r="G11" s="88">
        <f t="shared" si="0"/>
        <v>0</v>
      </c>
      <c r="H11" s="88">
        <f t="shared" si="0"/>
        <v>0</v>
      </c>
      <c r="I11" s="88">
        <f t="shared" si="0"/>
        <v>0</v>
      </c>
      <c r="J11" s="88">
        <f t="shared" si="0"/>
        <v>0</v>
      </c>
      <c r="K11" s="88">
        <f t="shared" si="0"/>
        <v>0</v>
      </c>
      <c r="L11" s="88">
        <f t="shared" si="0"/>
        <v>0</v>
      </c>
      <c r="M11" s="89">
        <f t="shared" si="0"/>
        <v>0</v>
      </c>
    </row>
    <row r="12" spans="2:13" ht="21" customHeight="1" thickBot="1" x14ac:dyDescent="0.25">
      <c r="B12" s="92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</row>
    <row r="13" spans="2:13" ht="15.75" customHeight="1" thickBot="1" x14ac:dyDescent="0.25">
      <c r="B13" s="107" t="s">
        <v>125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62"/>
    </row>
    <row r="14" spans="2:13" ht="15" customHeight="1" x14ac:dyDescent="0.2">
      <c r="B14" s="104" t="s">
        <v>126</v>
      </c>
      <c r="C14" s="105">
        <f>IF(C2=2025,Assumptions!C16,0)</f>
        <v>0</v>
      </c>
      <c r="D14" s="105">
        <f>IF(D2=2025,Assumptions!D16,0)</f>
        <v>0</v>
      </c>
      <c r="E14" s="105">
        <f>IF(E2=2025,Assumptions!E16,0)</f>
        <v>0</v>
      </c>
      <c r="F14" s="105">
        <f>IF(F2=2025,Assumptions!F16,0)</f>
        <v>0</v>
      </c>
      <c r="G14" s="105">
        <f>IF(G2=2025,Assumptions!G16,0)</f>
        <v>0</v>
      </c>
      <c r="H14" s="105">
        <f>IF(H2=2025,Assumptions!H16,0)</f>
        <v>0</v>
      </c>
      <c r="I14" s="105">
        <f>IF(I2=2025,Assumptions!I16,0)</f>
        <v>0</v>
      </c>
      <c r="J14" s="105">
        <f>IF(J2=2025,Assumptions!J16,0)</f>
        <v>0</v>
      </c>
      <c r="K14" s="105">
        <f>IF(K2=2025,Assumptions!K16,0)</f>
        <v>0</v>
      </c>
      <c r="L14" s="105">
        <f>IF(L2=2025,Assumptions!L16,0)</f>
        <v>0</v>
      </c>
      <c r="M14" s="106">
        <f>IF(M2=2025,Assumptions!M16,0)</f>
        <v>0</v>
      </c>
    </row>
    <row r="15" spans="2:13" ht="15" customHeight="1" x14ac:dyDescent="0.2">
      <c r="B15" s="97" t="s">
        <v>127</v>
      </c>
      <c r="C15" s="24">
        <f>IFERROR(Assumptions!C23,0)</f>
        <v>0</v>
      </c>
      <c r="D15" s="24">
        <f>IFERROR(Assumptions!D23,0)</f>
        <v>0</v>
      </c>
      <c r="E15" s="24">
        <f>IFERROR(Assumptions!E23,0)</f>
        <v>0</v>
      </c>
      <c r="F15" s="24">
        <f>IFERROR(Assumptions!F23,0)</f>
        <v>0</v>
      </c>
      <c r="G15" s="24">
        <f>IFERROR(Assumptions!G23,0)</f>
        <v>0</v>
      </c>
      <c r="H15" s="24">
        <f>IFERROR(Assumptions!H23,0)</f>
        <v>0</v>
      </c>
      <c r="I15" s="24">
        <f>IFERROR(Assumptions!I23,0)</f>
        <v>0</v>
      </c>
      <c r="J15" s="24">
        <f>IFERROR(Assumptions!J23,0)</f>
        <v>0</v>
      </c>
      <c r="K15" s="24">
        <f>IFERROR(Assumptions!K23,0)</f>
        <v>0</v>
      </c>
      <c r="L15" s="24">
        <f>IFERROR(Assumptions!L23,0)</f>
        <v>0</v>
      </c>
      <c r="M15" s="98">
        <f>IFERROR(Assumptions!M23,0)</f>
        <v>0</v>
      </c>
    </row>
    <row r="16" spans="2:13" ht="15" customHeight="1" x14ac:dyDescent="0.2">
      <c r="B16" s="97" t="s">
        <v>128</v>
      </c>
      <c r="C16" s="24">
        <f>IFERROR(Assumptions!C19,0)+IFERROR(Assumptions!C26,0)</f>
        <v>0</v>
      </c>
      <c r="D16" s="24">
        <f>IFERROR(Assumptions!D19,0)+IFERROR(Assumptions!D26,0)</f>
        <v>0</v>
      </c>
      <c r="E16" s="24">
        <f>IFERROR(Assumptions!E19,0)+IFERROR(Assumptions!E26,0)</f>
        <v>0</v>
      </c>
      <c r="F16" s="24">
        <f>IFERROR(Assumptions!F19,0)+IFERROR(Assumptions!F26,0)</f>
        <v>0</v>
      </c>
      <c r="G16" s="24">
        <f>IFERROR(Assumptions!G19,0)+IFERROR(Assumptions!G26,0)</f>
        <v>0</v>
      </c>
      <c r="H16" s="24">
        <f>IFERROR(Assumptions!H19,0)+IFERROR(Assumptions!H26,0)</f>
        <v>0</v>
      </c>
      <c r="I16" s="24">
        <f>IFERROR(Assumptions!I19,0)+IFERROR(Assumptions!I26,0)</f>
        <v>0</v>
      </c>
      <c r="J16" s="24">
        <f>IFERROR(Assumptions!J19,0)+IFERROR(Assumptions!J26,0)</f>
        <v>0</v>
      </c>
      <c r="K16" s="24">
        <f>IFERROR(Assumptions!K19,0)+IFERROR(Assumptions!K26,0)</f>
        <v>0</v>
      </c>
      <c r="L16" s="24">
        <f>IFERROR(Assumptions!L19,0)+IFERROR(Assumptions!L26,0)</f>
        <v>0</v>
      </c>
      <c r="M16" s="98">
        <f>IFERROR(Assumptions!M19,0)+IFERROR(Assumptions!M26,0)</f>
        <v>0</v>
      </c>
    </row>
    <row r="17" spans="2:13" ht="15" customHeight="1" x14ac:dyDescent="0.2">
      <c r="B17" s="99"/>
      <c r="C17" s="7"/>
      <c r="D17" s="7"/>
      <c r="E17" s="7"/>
      <c r="F17" s="7"/>
      <c r="G17" s="7"/>
      <c r="H17" s="7"/>
      <c r="I17" s="7"/>
      <c r="J17" s="7"/>
      <c r="K17" s="7"/>
      <c r="L17" s="7"/>
      <c r="M17" s="100"/>
    </row>
    <row r="18" spans="2:13" ht="15" customHeight="1" thickBot="1" x14ac:dyDescent="0.25">
      <c r="B18" s="101" t="s">
        <v>129</v>
      </c>
      <c r="C18" s="102" t="s">
        <v>130</v>
      </c>
      <c r="D18" s="102" t="str">
        <f t="shared" ref="D18:M18" si="1">IFERROR((D11-C11)/C11,"-")</f>
        <v>-</v>
      </c>
      <c r="E18" s="102" t="str">
        <f t="shared" si="1"/>
        <v>-</v>
      </c>
      <c r="F18" s="102" t="str">
        <f t="shared" si="1"/>
        <v>-</v>
      </c>
      <c r="G18" s="102" t="str">
        <f t="shared" si="1"/>
        <v>-</v>
      </c>
      <c r="H18" s="102" t="str">
        <f t="shared" si="1"/>
        <v>-</v>
      </c>
      <c r="I18" s="102" t="str">
        <f t="shared" si="1"/>
        <v>-</v>
      </c>
      <c r="J18" s="102" t="str">
        <f t="shared" si="1"/>
        <v>-</v>
      </c>
      <c r="K18" s="102" t="str">
        <f t="shared" si="1"/>
        <v>-</v>
      </c>
      <c r="L18" s="102" t="str">
        <f t="shared" si="1"/>
        <v>-</v>
      </c>
      <c r="M18" s="103" t="str">
        <f t="shared" si="1"/>
        <v>-</v>
      </c>
    </row>
  </sheetData>
  <mergeCells count="3">
    <mergeCell ref="B13:M13"/>
    <mergeCell ref="B3:M3"/>
    <mergeCell ref="B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39997558519241921"/>
  </sheetPr>
  <dimension ref="B1:M22"/>
  <sheetViews>
    <sheetView showGridLines="0" tabSelected="1" zoomScaleNormal="100" workbookViewId="0">
      <pane xSplit="2" ySplit="2" topLeftCell="C3" activePane="bottomRight" state="frozen"/>
      <selection pane="topRight" activeCell="B1" sqref="B1"/>
      <selection pane="bottomLeft" activeCell="A3" sqref="A3"/>
      <selection pane="bottomRight" activeCell="B35" sqref="B35"/>
    </sheetView>
  </sheetViews>
  <sheetFormatPr baseColWidth="10" defaultColWidth="8.83203125" defaultRowHeight="15" x14ac:dyDescent="0.2"/>
  <cols>
    <col min="1" max="1" width="3.33203125" customWidth="1"/>
    <col min="2" max="2" width="42" customWidth="1"/>
    <col min="3" max="14" width="12" customWidth="1"/>
  </cols>
  <sheetData>
    <row r="1" spans="2:13" ht="27.75" customHeight="1" thickBot="1" x14ac:dyDescent="0.25">
      <c r="B1" s="61" t="s">
        <v>131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62"/>
    </row>
    <row r="2" spans="2:13" ht="19.5" customHeight="1" thickBot="1" x14ac:dyDescent="0.25">
      <c r="B2" s="75"/>
      <c r="C2" s="75" t="s">
        <v>31</v>
      </c>
      <c r="D2" s="75" t="s">
        <v>32</v>
      </c>
      <c r="E2" s="75" t="s">
        <v>33</v>
      </c>
      <c r="F2" s="75" t="s">
        <v>34</v>
      </c>
      <c r="G2" s="75" t="s">
        <v>35</v>
      </c>
      <c r="H2" s="75" t="s">
        <v>36</v>
      </c>
      <c r="I2" s="75" t="s">
        <v>37</v>
      </c>
      <c r="J2" s="75" t="s">
        <v>38</v>
      </c>
      <c r="K2" s="75" t="s">
        <v>39</v>
      </c>
      <c r="L2" s="75" t="s">
        <v>40</v>
      </c>
      <c r="M2" s="75" t="s">
        <v>41</v>
      </c>
    </row>
    <row r="3" spans="2:13" ht="15.75" customHeight="1" thickBot="1" x14ac:dyDescent="0.25">
      <c r="B3" s="107" t="s">
        <v>132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62"/>
    </row>
    <row r="4" spans="2:13" ht="15" customHeight="1" x14ac:dyDescent="0.2">
      <c r="B4" s="112" t="s">
        <v>133</v>
      </c>
      <c r="C4" s="113">
        <f>Revenue!C11</f>
        <v>0</v>
      </c>
      <c r="D4" s="113">
        <f>Revenue!D11</f>
        <v>0</v>
      </c>
      <c r="E4" s="113">
        <f>Revenue!E11</f>
        <v>0</v>
      </c>
      <c r="F4" s="113">
        <f>Revenue!F11</f>
        <v>0</v>
      </c>
      <c r="G4" s="113">
        <f>Revenue!G11</f>
        <v>0</v>
      </c>
      <c r="H4" s="113">
        <f>Revenue!H11</f>
        <v>0</v>
      </c>
      <c r="I4" s="113">
        <f>Revenue!I11</f>
        <v>0</v>
      </c>
      <c r="J4" s="113">
        <f>Revenue!J11</f>
        <v>0</v>
      </c>
      <c r="K4" s="113">
        <f>Revenue!K11</f>
        <v>0</v>
      </c>
      <c r="L4" s="113">
        <f>Revenue!L11</f>
        <v>0</v>
      </c>
      <c r="M4" s="114">
        <f>Revenue!M11</f>
        <v>0</v>
      </c>
    </row>
    <row r="5" spans="2:13" ht="6" customHeight="1" thickBot="1" x14ac:dyDescent="0.25">
      <c r="B5" s="111"/>
      <c r="C5" s="86"/>
      <c r="D5" s="86"/>
      <c r="E5" s="86"/>
      <c r="F5" s="86"/>
      <c r="G5" s="86"/>
      <c r="H5" s="86"/>
      <c r="I5" s="86"/>
      <c r="J5" s="86"/>
      <c r="K5" s="86"/>
      <c r="L5" s="86"/>
      <c r="M5" s="87"/>
    </row>
    <row r="6" spans="2:13" ht="15.75" customHeight="1" thickBot="1" x14ac:dyDescent="0.25">
      <c r="B6" s="107" t="s">
        <v>134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62"/>
    </row>
    <row r="7" spans="2:13" ht="15" customHeight="1" x14ac:dyDescent="0.2">
      <c r="B7" s="104" t="s">
        <v>135</v>
      </c>
      <c r="C7" s="105">
        <f>Assumptions!C35*Assumptions!C36*(1+Assumptions!C41)^(0)</f>
        <v>0</v>
      </c>
      <c r="D7" s="105">
        <f>Assumptions!D35*Assumptions!D36*(1+Assumptions!D41)^(1)</f>
        <v>0</v>
      </c>
      <c r="E7" s="105">
        <f>Assumptions!E35*Assumptions!E36*(1+Assumptions!E41)^(2)</f>
        <v>0</v>
      </c>
      <c r="F7" s="105">
        <f>Assumptions!F35*Assumptions!F36*(1+Assumptions!F41)^(3)</f>
        <v>0</v>
      </c>
      <c r="G7" s="105">
        <f>Assumptions!G35*Assumptions!G36*(1+Assumptions!G41)^(4)</f>
        <v>0</v>
      </c>
      <c r="H7" s="105">
        <f>Assumptions!H35*Assumptions!H36*(1+Assumptions!H41)^(5)</f>
        <v>0</v>
      </c>
      <c r="I7" s="105">
        <f>Assumptions!I35*Assumptions!I36*(1+Assumptions!I41)^(6)</f>
        <v>0</v>
      </c>
      <c r="J7" s="105">
        <f>Assumptions!J35*Assumptions!J36*(1+Assumptions!J41)^(7)</f>
        <v>0</v>
      </c>
      <c r="K7" s="105">
        <f>Assumptions!K35*Assumptions!K36*(1+Assumptions!K41)^(8)</f>
        <v>0</v>
      </c>
      <c r="L7" s="105">
        <f>Assumptions!L35*Assumptions!L36*(1+Assumptions!L41)^(9)</f>
        <v>0</v>
      </c>
      <c r="M7" s="106">
        <f>Assumptions!M35*Assumptions!M36*(1+Assumptions!M41)^(10)</f>
        <v>0</v>
      </c>
    </row>
    <row r="8" spans="2:13" ht="15" customHeight="1" x14ac:dyDescent="0.2">
      <c r="B8" s="108" t="s">
        <v>136</v>
      </c>
      <c r="C8" s="4">
        <f>Assumptions!C37</f>
        <v>0</v>
      </c>
      <c r="D8" s="4">
        <f>Assumptions!D37</f>
        <v>0</v>
      </c>
      <c r="E8" s="4">
        <f>Assumptions!E37</f>
        <v>0</v>
      </c>
      <c r="F8" s="4">
        <f>Assumptions!F37</f>
        <v>0</v>
      </c>
      <c r="G8" s="4">
        <f>Assumptions!G37</f>
        <v>0</v>
      </c>
      <c r="H8" s="4">
        <f>Assumptions!H37</f>
        <v>0</v>
      </c>
      <c r="I8" s="4">
        <f>Assumptions!I37</f>
        <v>0</v>
      </c>
      <c r="J8" s="4">
        <f>Assumptions!J37</f>
        <v>0</v>
      </c>
      <c r="K8" s="4">
        <f>Assumptions!K37</f>
        <v>0</v>
      </c>
      <c r="L8" s="4">
        <f>Assumptions!L37</f>
        <v>0</v>
      </c>
      <c r="M8" s="80">
        <f>Assumptions!M37</f>
        <v>0</v>
      </c>
    </row>
    <row r="9" spans="2:13" ht="15" customHeight="1" x14ac:dyDescent="0.2">
      <c r="B9" s="108" t="s">
        <v>137</v>
      </c>
      <c r="C9" s="4">
        <f>Assumptions!C38</f>
        <v>0</v>
      </c>
      <c r="D9" s="4">
        <f>Assumptions!D38</f>
        <v>0</v>
      </c>
      <c r="E9" s="4">
        <f>Assumptions!E38</f>
        <v>0</v>
      </c>
      <c r="F9" s="4">
        <f>Assumptions!F38</f>
        <v>0</v>
      </c>
      <c r="G9" s="4">
        <f>Assumptions!G38</f>
        <v>0</v>
      </c>
      <c r="H9" s="4">
        <f>Assumptions!H38</f>
        <v>0</v>
      </c>
      <c r="I9" s="4">
        <f>Assumptions!I38</f>
        <v>0</v>
      </c>
      <c r="J9" s="4">
        <f>Assumptions!J38</f>
        <v>0</v>
      </c>
      <c r="K9" s="4">
        <f>Assumptions!K38</f>
        <v>0</v>
      </c>
      <c r="L9" s="4">
        <f>Assumptions!L38</f>
        <v>0</v>
      </c>
      <c r="M9" s="80">
        <f>Assumptions!M38</f>
        <v>0</v>
      </c>
    </row>
    <row r="10" spans="2:13" ht="15" customHeight="1" x14ac:dyDescent="0.2">
      <c r="B10" s="108" t="s">
        <v>138</v>
      </c>
      <c r="C10" s="4">
        <f>Assumptions!C39</f>
        <v>0</v>
      </c>
      <c r="D10" s="4">
        <f>Assumptions!D39</f>
        <v>0</v>
      </c>
      <c r="E10" s="4">
        <f>Assumptions!E39</f>
        <v>0</v>
      </c>
      <c r="F10" s="4">
        <f>Assumptions!F39</f>
        <v>0</v>
      </c>
      <c r="G10" s="4">
        <f>Assumptions!G39</f>
        <v>0</v>
      </c>
      <c r="H10" s="4">
        <f>Assumptions!H39</f>
        <v>0</v>
      </c>
      <c r="I10" s="4">
        <f>Assumptions!I39</f>
        <v>0</v>
      </c>
      <c r="J10" s="4">
        <f>Assumptions!J39</f>
        <v>0</v>
      </c>
      <c r="K10" s="4">
        <f>Assumptions!K39</f>
        <v>0</v>
      </c>
      <c r="L10" s="4">
        <f>Assumptions!L39</f>
        <v>0</v>
      </c>
      <c r="M10" s="80">
        <f>Assumptions!M39</f>
        <v>0</v>
      </c>
    </row>
    <row r="11" spans="2:13" ht="15" customHeight="1" x14ac:dyDescent="0.2">
      <c r="B11" s="108" t="s">
        <v>139</v>
      </c>
      <c r="C11" s="4">
        <f>Assumptions!C40</f>
        <v>0</v>
      </c>
      <c r="D11" s="4">
        <f>Assumptions!D40</f>
        <v>0</v>
      </c>
      <c r="E11" s="4">
        <f>Assumptions!E40</f>
        <v>0</v>
      </c>
      <c r="F11" s="4">
        <f>Assumptions!F40</f>
        <v>0</v>
      </c>
      <c r="G11" s="4">
        <f>Assumptions!G40</f>
        <v>0</v>
      </c>
      <c r="H11" s="4">
        <f>Assumptions!H40</f>
        <v>0</v>
      </c>
      <c r="I11" s="4">
        <f>Assumptions!I40</f>
        <v>0</v>
      </c>
      <c r="J11" s="4">
        <f>Assumptions!J40</f>
        <v>0</v>
      </c>
      <c r="K11" s="4">
        <f>Assumptions!K40</f>
        <v>0</v>
      </c>
      <c r="L11" s="4">
        <f>Assumptions!L40</f>
        <v>0</v>
      </c>
      <c r="M11" s="80">
        <f>Assumptions!M40</f>
        <v>0</v>
      </c>
    </row>
    <row r="12" spans="2:13" ht="15" customHeight="1" thickBot="1" x14ac:dyDescent="0.25">
      <c r="B12" s="82" t="s">
        <v>140</v>
      </c>
      <c r="C12" s="83">
        <f t="shared" ref="C12:M12" si="0">SUM(C7,C8,C9,C10,C11)</f>
        <v>0</v>
      </c>
      <c r="D12" s="83">
        <f t="shared" si="0"/>
        <v>0</v>
      </c>
      <c r="E12" s="83">
        <f t="shared" si="0"/>
        <v>0</v>
      </c>
      <c r="F12" s="83">
        <f t="shared" si="0"/>
        <v>0</v>
      </c>
      <c r="G12" s="83">
        <f t="shared" si="0"/>
        <v>0</v>
      </c>
      <c r="H12" s="83">
        <f t="shared" si="0"/>
        <v>0</v>
      </c>
      <c r="I12" s="83">
        <f t="shared" si="0"/>
        <v>0</v>
      </c>
      <c r="J12" s="83">
        <f t="shared" si="0"/>
        <v>0</v>
      </c>
      <c r="K12" s="83">
        <f t="shared" si="0"/>
        <v>0</v>
      </c>
      <c r="L12" s="83">
        <f t="shared" si="0"/>
        <v>0</v>
      </c>
      <c r="M12" s="84">
        <f t="shared" si="0"/>
        <v>0</v>
      </c>
    </row>
    <row r="13" spans="2:13" ht="6" customHeight="1" thickBot="1" x14ac:dyDescent="0.25">
      <c r="B13" s="92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</row>
    <row r="14" spans="2:13" ht="15.75" customHeight="1" thickBot="1" x14ac:dyDescent="0.25">
      <c r="B14" s="107" t="s">
        <v>141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62"/>
    </row>
    <row r="15" spans="2:13" ht="15" customHeight="1" x14ac:dyDescent="0.2">
      <c r="B15" s="115" t="s">
        <v>141</v>
      </c>
      <c r="C15" s="110">
        <f t="shared" ref="C15:M15" si="1">C4-C12</f>
        <v>0</v>
      </c>
      <c r="D15" s="110">
        <f t="shared" si="1"/>
        <v>0</v>
      </c>
      <c r="E15" s="110">
        <f t="shared" si="1"/>
        <v>0</v>
      </c>
      <c r="F15" s="110">
        <f t="shared" si="1"/>
        <v>0</v>
      </c>
      <c r="G15" s="110">
        <f t="shared" si="1"/>
        <v>0</v>
      </c>
      <c r="H15" s="110">
        <f t="shared" si="1"/>
        <v>0</v>
      </c>
      <c r="I15" s="110">
        <f t="shared" si="1"/>
        <v>0</v>
      </c>
      <c r="J15" s="110">
        <f t="shared" si="1"/>
        <v>0</v>
      </c>
      <c r="K15" s="110">
        <f t="shared" si="1"/>
        <v>0</v>
      </c>
      <c r="L15" s="110">
        <f t="shared" si="1"/>
        <v>0</v>
      </c>
      <c r="M15" s="116">
        <f t="shared" si="1"/>
        <v>0</v>
      </c>
    </row>
    <row r="16" spans="2:13" ht="15" customHeight="1" thickBot="1" x14ac:dyDescent="0.25">
      <c r="B16" s="101" t="s">
        <v>142</v>
      </c>
      <c r="C16" s="102" t="str">
        <f t="shared" ref="C16:M16" si="2">IFERROR(C15/C4,"-")</f>
        <v>-</v>
      </c>
      <c r="D16" s="102" t="str">
        <f t="shared" si="2"/>
        <v>-</v>
      </c>
      <c r="E16" s="102" t="str">
        <f t="shared" si="2"/>
        <v>-</v>
      </c>
      <c r="F16" s="102" t="str">
        <f t="shared" si="2"/>
        <v>-</v>
      </c>
      <c r="G16" s="102" t="str">
        <f t="shared" si="2"/>
        <v>-</v>
      </c>
      <c r="H16" s="102" t="str">
        <f t="shared" si="2"/>
        <v>-</v>
      </c>
      <c r="I16" s="102" t="str">
        <f t="shared" si="2"/>
        <v>-</v>
      </c>
      <c r="J16" s="102" t="str">
        <f t="shared" si="2"/>
        <v>-</v>
      </c>
      <c r="K16" s="102" t="str">
        <f t="shared" si="2"/>
        <v>-</v>
      </c>
      <c r="L16" s="102" t="str">
        <f t="shared" si="2"/>
        <v>-</v>
      </c>
      <c r="M16" s="103" t="str">
        <f t="shared" si="2"/>
        <v>-</v>
      </c>
    </row>
    <row r="17" spans="2:13" ht="6" customHeight="1" thickBot="1" x14ac:dyDescent="0.25">
      <c r="B17" s="117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</row>
    <row r="18" spans="2:13" ht="15.75" customHeight="1" x14ac:dyDescent="0.2">
      <c r="B18" s="94" t="s">
        <v>143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6"/>
    </row>
    <row r="19" spans="2:13" ht="15" customHeight="1" x14ac:dyDescent="0.2">
      <c r="B19" s="97" t="s">
        <v>144</v>
      </c>
      <c r="C19" s="24">
        <f>Assumptions!C45*SUM(Assumptions!C44:C44)</f>
        <v>0</v>
      </c>
      <c r="D19" s="24">
        <f>Assumptions!D45*SUM(Assumptions!C44:D44)</f>
        <v>0</v>
      </c>
      <c r="E19" s="24">
        <f>Assumptions!E45*SUM(Assumptions!C44:E44)</f>
        <v>0</v>
      </c>
      <c r="F19" s="24">
        <f>Assumptions!F45*SUM(Assumptions!C44:F44)</f>
        <v>0</v>
      </c>
      <c r="G19" s="24">
        <f>Assumptions!G45*SUM(Assumptions!C44:G44)</f>
        <v>0</v>
      </c>
      <c r="H19" s="24">
        <f>Assumptions!H45*SUM(Assumptions!C44:H44)</f>
        <v>0</v>
      </c>
      <c r="I19" s="24">
        <f>Assumptions!I45*SUM(Assumptions!C44:I44)</f>
        <v>0</v>
      </c>
      <c r="J19" s="24">
        <f>Assumptions!J45*SUM(Assumptions!C44:J44)</f>
        <v>0</v>
      </c>
      <c r="K19" s="24">
        <f>Assumptions!K45*SUM(Assumptions!C44:K44)</f>
        <v>0</v>
      </c>
      <c r="L19" s="24">
        <f>Assumptions!L45*SUM(Assumptions!C44:L44)</f>
        <v>0</v>
      </c>
      <c r="M19" s="98">
        <f>Assumptions!M45*SUM(Assumptions!C44:M44)</f>
        <v>0</v>
      </c>
    </row>
    <row r="20" spans="2:13" ht="15" customHeight="1" x14ac:dyDescent="0.2">
      <c r="B20" s="119" t="s">
        <v>145</v>
      </c>
      <c r="C20" s="26">
        <f t="shared" ref="C20:M20" si="3">C15-C19</f>
        <v>0</v>
      </c>
      <c r="D20" s="26">
        <f t="shared" si="3"/>
        <v>0</v>
      </c>
      <c r="E20" s="26">
        <f t="shared" si="3"/>
        <v>0</v>
      </c>
      <c r="F20" s="26">
        <f t="shared" si="3"/>
        <v>0</v>
      </c>
      <c r="G20" s="26">
        <f t="shared" si="3"/>
        <v>0</v>
      </c>
      <c r="H20" s="26">
        <f t="shared" si="3"/>
        <v>0</v>
      </c>
      <c r="I20" s="26">
        <f t="shared" si="3"/>
        <v>0</v>
      </c>
      <c r="J20" s="26">
        <f t="shared" si="3"/>
        <v>0</v>
      </c>
      <c r="K20" s="26">
        <f t="shared" si="3"/>
        <v>0</v>
      </c>
      <c r="L20" s="26">
        <f t="shared" si="3"/>
        <v>0</v>
      </c>
      <c r="M20" s="120">
        <f t="shared" si="3"/>
        <v>0</v>
      </c>
    </row>
    <row r="21" spans="2:13" ht="15" customHeight="1" x14ac:dyDescent="0.2">
      <c r="B21" s="97" t="s">
        <v>146</v>
      </c>
      <c r="C21" s="24">
        <f>MAX(0,C20)*Assumptions!C9</f>
        <v>0</v>
      </c>
      <c r="D21" s="24">
        <f>MAX(0,D20)*Assumptions!D9</f>
        <v>0</v>
      </c>
      <c r="E21" s="24">
        <f>MAX(0,E20)*Assumptions!E9</f>
        <v>0</v>
      </c>
      <c r="F21" s="24">
        <f>MAX(0,F20)*Assumptions!F9</f>
        <v>0</v>
      </c>
      <c r="G21" s="24">
        <f>MAX(0,G20)*Assumptions!G9</f>
        <v>0</v>
      </c>
      <c r="H21" s="24">
        <f>MAX(0,H20)*Assumptions!H9</f>
        <v>0</v>
      </c>
      <c r="I21" s="24">
        <f>MAX(0,I20)*Assumptions!I9</f>
        <v>0</v>
      </c>
      <c r="J21" s="24">
        <f>MAX(0,J20)*Assumptions!J9</f>
        <v>0</v>
      </c>
      <c r="K21" s="24">
        <f>MAX(0,K20)*Assumptions!K9</f>
        <v>0</v>
      </c>
      <c r="L21" s="24">
        <f>MAX(0,L20)*Assumptions!L9</f>
        <v>0</v>
      </c>
      <c r="M21" s="98">
        <f>MAX(0,M20)*Assumptions!M9</f>
        <v>0</v>
      </c>
    </row>
    <row r="22" spans="2:13" ht="15" customHeight="1" thickBot="1" x14ac:dyDescent="0.25">
      <c r="B22" s="82" t="s">
        <v>147</v>
      </c>
      <c r="C22" s="83">
        <f t="shared" ref="C22:M22" si="4">C20-C21</f>
        <v>0</v>
      </c>
      <c r="D22" s="83">
        <f t="shared" si="4"/>
        <v>0</v>
      </c>
      <c r="E22" s="83">
        <f t="shared" si="4"/>
        <v>0</v>
      </c>
      <c r="F22" s="83">
        <f t="shared" si="4"/>
        <v>0</v>
      </c>
      <c r="G22" s="83">
        <f t="shared" si="4"/>
        <v>0</v>
      </c>
      <c r="H22" s="83">
        <f t="shared" si="4"/>
        <v>0</v>
      </c>
      <c r="I22" s="83">
        <f t="shared" si="4"/>
        <v>0</v>
      </c>
      <c r="J22" s="83">
        <f t="shared" si="4"/>
        <v>0</v>
      </c>
      <c r="K22" s="83">
        <f t="shared" si="4"/>
        <v>0</v>
      </c>
      <c r="L22" s="83">
        <f t="shared" si="4"/>
        <v>0</v>
      </c>
      <c r="M22" s="84">
        <f t="shared" si="4"/>
        <v>0</v>
      </c>
    </row>
  </sheetData>
  <mergeCells count="5">
    <mergeCell ref="B1:M1"/>
    <mergeCell ref="B14:M14"/>
    <mergeCell ref="B6:M6"/>
    <mergeCell ref="B18:M18"/>
    <mergeCell ref="B3:M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B1:M23"/>
  <sheetViews>
    <sheetView showGridLines="0" zoomScaleNormal="100" workbookViewId="0">
      <pane xSplit="2" ySplit="2" topLeftCell="C3" activePane="bottomRight" state="frozen"/>
      <selection pane="topRight" activeCell="B1" sqref="B1"/>
      <selection pane="bottomLeft" activeCell="A3" sqref="A3"/>
      <selection pane="bottomRight" activeCell="B30" sqref="B30"/>
    </sheetView>
  </sheetViews>
  <sheetFormatPr baseColWidth="10" defaultColWidth="8.83203125" defaultRowHeight="15" x14ac:dyDescent="0.2"/>
  <cols>
    <col min="1" max="1" width="5" customWidth="1"/>
    <col min="2" max="2" width="42" customWidth="1"/>
    <col min="3" max="14" width="12" customWidth="1"/>
  </cols>
  <sheetData>
    <row r="1" spans="2:13" ht="27.75" customHeight="1" thickBot="1" x14ac:dyDescent="0.25">
      <c r="B1" s="61" t="s">
        <v>148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62"/>
    </row>
    <row r="2" spans="2:13" ht="19.5" customHeight="1" thickBot="1" x14ac:dyDescent="0.25">
      <c r="B2" s="75"/>
      <c r="C2" s="75" t="s">
        <v>31</v>
      </c>
      <c r="D2" s="75" t="s">
        <v>32</v>
      </c>
      <c r="E2" s="75" t="s">
        <v>33</v>
      </c>
      <c r="F2" s="75" t="s">
        <v>34</v>
      </c>
      <c r="G2" s="75" t="s">
        <v>35</v>
      </c>
      <c r="H2" s="75" t="s">
        <v>36</v>
      </c>
      <c r="I2" s="75" t="s">
        <v>37</v>
      </c>
      <c r="J2" s="75" t="s">
        <v>38</v>
      </c>
      <c r="K2" s="75" t="s">
        <v>39</v>
      </c>
      <c r="L2" s="75" t="s">
        <v>40</v>
      </c>
      <c r="M2" s="75" t="s">
        <v>41</v>
      </c>
    </row>
    <row r="3" spans="2:13" ht="15.75" customHeight="1" thickBot="1" x14ac:dyDescent="0.25">
      <c r="B3" s="107" t="s">
        <v>149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62"/>
    </row>
    <row r="4" spans="2:13" ht="15" customHeight="1" x14ac:dyDescent="0.2">
      <c r="B4" s="122" t="s">
        <v>150</v>
      </c>
      <c r="C4" s="121">
        <f>PnL_OPEX!C22</f>
        <v>0</v>
      </c>
      <c r="D4" s="121">
        <f>PnL_OPEX!D22</f>
        <v>0</v>
      </c>
      <c r="E4" s="121">
        <f>PnL_OPEX!E22</f>
        <v>0</v>
      </c>
      <c r="F4" s="121">
        <f>PnL_OPEX!F22</f>
        <v>0</v>
      </c>
      <c r="G4" s="121">
        <f>PnL_OPEX!G22</f>
        <v>0</v>
      </c>
      <c r="H4" s="121">
        <f>PnL_OPEX!H22</f>
        <v>0</v>
      </c>
      <c r="I4" s="121">
        <f>PnL_OPEX!I22</f>
        <v>0</v>
      </c>
      <c r="J4" s="121">
        <f>PnL_OPEX!J22</f>
        <v>0</v>
      </c>
      <c r="K4" s="121">
        <f>PnL_OPEX!K22</f>
        <v>0</v>
      </c>
      <c r="L4" s="121">
        <f>PnL_OPEX!L22</f>
        <v>0</v>
      </c>
      <c r="M4" s="123">
        <f>PnL_OPEX!M22</f>
        <v>0</v>
      </c>
    </row>
    <row r="5" spans="2:13" ht="15" customHeight="1" x14ac:dyDescent="0.2">
      <c r="B5" s="97" t="s">
        <v>151</v>
      </c>
      <c r="C5" s="24">
        <f>PnL_OPEX!C19</f>
        <v>0</v>
      </c>
      <c r="D5" s="24">
        <f>PnL_OPEX!D19</f>
        <v>0</v>
      </c>
      <c r="E5" s="24">
        <f>PnL_OPEX!E19</f>
        <v>0</v>
      </c>
      <c r="F5" s="24">
        <f>PnL_OPEX!F19</f>
        <v>0</v>
      </c>
      <c r="G5" s="24">
        <f>PnL_OPEX!G19</f>
        <v>0</v>
      </c>
      <c r="H5" s="24">
        <f>PnL_OPEX!H19</f>
        <v>0</v>
      </c>
      <c r="I5" s="24">
        <f>PnL_OPEX!I19</f>
        <v>0</v>
      </c>
      <c r="J5" s="24">
        <f>PnL_OPEX!J19</f>
        <v>0</v>
      </c>
      <c r="K5" s="24">
        <f>PnL_OPEX!K19</f>
        <v>0</v>
      </c>
      <c r="L5" s="24">
        <f>PnL_OPEX!L19</f>
        <v>0</v>
      </c>
      <c r="M5" s="98">
        <f>PnL_OPEX!M19</f>
        <v>0</v>
      </c>
    </row>
    <row r="6" spans="2:13" ht="15" customHeight="1" x14ac:dyDescent="0.2">
      <c r="B6" s="97" t="s">
        <v>152</v>
      </c>
      <c r="C6" s="24">
        <f>-Assumptions!C44</f>
        <v>0</v>
      </c>
      <c r="D6" s="24">
        <f>-Assumptions!D44</f>
        <v>0</v>
      </c>
      <c r="E6" s="24">
        <f>-Assumptions!E44</f>
        <v>0</v>
      </c>
      <c r="F6" s="24">
        <f>-Assumptions!F44</f>
        <v>0</v>
      </c>
      <c r="G6" s="24">
        <f>-Assumptions!G44</f>
        <v>0</v>
      </c>
      <c r="H6" s="24">
        <f>-Assumptions!H44</f>
        <v>0</v>
      </c>
      <c r="I6" s="24">
        <f>-Assumptions!I44</f>
        <v>0</v>
      </c>
      <c r="J6" s="24">
        <f>-Assumptions!J44</f>
        <v>0</v>
      </c>
      <c r="K6" s="24">
        <f>-Assumptions!K44</f>
        <v>0</v>
      </c>
      <c r="L6" s="24">
        <f>-Assumptions!L44</f>
        <v>0</v>
      </c>
      <c r="M6" s="98">
        <f>-Assumptions!M44</f>
        <v>0</v>
      </c>
    </row>
    <row r="7" spans="2:13" ht="15" customHeight="1" x14ac:dyDescent="0.2">
      <c r="B7" s="97" t="s">
        <v>153</v>
      </c>
      <c r="C7" s="24">
        <f>0</f>
        <v>0</v>
      </c>
      <c r="D7" s="24">
        <f>-(Assumptions!D46*Revenue!D11-Assumptions!C46*Revenue!C11)</f>
        <v>0</v>
      </c>
      <c r="E7" s="24">
        <f>-(Assumptions!E46*Revenue!E11-Assumptions!D46*Revenue!D11)</f>
        <v>0</v>
      </c>
      <c r="F7" s="24">
        <f>-(Assumptions!F46*Revenue!F11-Assumptions!E46*Revenue!E11)</f>
        <v>0</v>
      </c>
      <c r="G7" s="24">
        <f>-(Assumptions!G46*Revenue!G11-Assumptions!F46*Revenue!F11)</f>
        <v>0</v>
      </c>
      <c r="H7" s="24">
        <f>-(Assumptions!H46*Revenue!H11-Assumptions!G46*Revenue!G11)</f>
        <v>0</v>
      </c>
      <c r="I7" s="24">
        <f>-(Assumptions!I46*Revenue!I11-Assumptions!H46*Revenue!H11)</f>
        <v>0</v>
      </c>
      <c r="J7" s="24">
        <f>-(Assumptions!J46*Revenue!J11-Assumptions!I46*Revenue!I11)</f>
        <v>0</v>
      </c>
      <c r="K7" s="24">
        <f>-(Assumptions!K46*Revenue!K11-Assumptions!J46*Revenue!J11)</f>
        <v>0</v>
      </c>
      <c r="L7" s="24">
        <f>-(Assumptions!L46*Revenue!L11-Assumptions!K46*Revenue!K11)</f>
        <v>0</v>
      </c>
      <c r="M7" s="98">
        <f>-(Assumptions!M46*Revenue!M11-Assumptions!L46*Revenue!L11)</f>
        <v>0</v>
      </c>
    </row>
    <row r="8" spans="2:13" ht="15" customHeight="1" thickBot="1" x14ac:dyDescent="0.25">
      <c r="B8" s="124" t="s">
        <v>154</v>
      </c>
      <c r="C8" s="125">
        <f t="shared" ref="C8:M8" si="0">C4+C5+C6+C7</f>
        <v>0</v>
      </c>
      <c r="D8" s="125">
        <f t="shared" si="0"/>
        <v>0</v>
      </c>
      <c r="E8" s="125">
        <f t="shared" si="0"/>
        <v>0</v>
      </c>
      <c r="F8" s="125">
        <f t="shared" si="0"/>
        <v>0</v>
      </c>
      <c r="G8" s="125">
        <f t="shared" si="0"/>
        <v>0</v>
      </c>
      <c r="H8" s="125">
        <f t="shared" si="0"/>
        <v>0</v>
      </c>
      <c r="I8" s="125">
        <f t="shared" si="0"/>
        <v>0</v>
      </c>
      <c r="J8" s="125">
        <f t="shared" si="0"/>
        <v>0</v>
      </c>
      <c r="K8" s="125">
        <f t="shared" si="0"/>
        <v>0</v>
      </c>
      <c r="L8" s="125">
        <f t="shared" si="0"/>
        <v>0</v>
      </c>
      <c r="M8" s="126">
        <f t="shared" si="0"/>
        <v>0</v>
      </c>
    </row>
    <row r="9" spans="2:13" ht="16" thickBot="1" x14ac:dyDescent="0.25">
      <c r="B9" s="92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</row>
    <row r="10" spans="2:13" ht="15.75" customHeight="1" x14ac:dyDescent="0.2">
      <c r="B10" s="94" t="s">
        <v>155</v>
      </c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6"/>
    </row>
    <row r="11" spans="2:13" ht="15" customHeight="1" x14ac:dyDescent="0.2">
      <c r="B11" s="97" t="s">
        <v>156</v>
      </c>
      <c r="C11" s="27">
        <f>1/(1+Assumptions!C11)^0.5</f>
        <v>1</v>
      </c>
      <c r="D11" s="27">
        <f>1/(1+Assumptions!D11)^1.5</f>
        <v>1</v>
      </c>
      <c r="E11" s="27">
        <f>1/(1+Assumptions!E11)^2.5</f>
        <v>1</v>
      </c>
      <c r="F11" s="27">
        <f>1/(1+Assumptions!F11)^3.5</f>
        <v>1</v>
      </c>
      <c r="G11" s="27">
        <f>1/(1+Assumptions!G11)^4.5</f>
        <v>1</v>
      </c>
      <c r="H11" s="27">
        <f>1/(1+Assumptions!H11)^5.5</f>
        <v>1</v>
      </c>
      <c r="I11" s="27">
        <f>1/(1+Assumptions!I11)^6.5</f>
        <v>1</v>
      </c>
      <c r="J11" s="27">
        <f>1/(1+Assumptions!J11)^7.5</f>
        <v>1</v>
      </c>
      <c r="K11" s="27">
        <f>1/(1+Assumptions!K11)^8.5</f>
        <v>1</v>
      </c>
      <c r="L11" s="27">
        <f>1/(1+Assumptions!L11)^9.5</f>
        <v>1</v>
      </c>
      <c r="M11" s="128">
        <f>1/(1+Assumptions!M11)^10.5</f>
        <v>1</v>
      </c>
    </row>
    <row r="12" spans="2:13" ht="16" thickBot="1" x14ac:dyDescent="0.25">
      <c r="B12" s="129" t="s">
        <v>157</v>
      </c>
      <c r="C12" s="130">
        <f t="shared" ref="C12:M12" si="1">C8*C11</f>
        <v>0</v>
      </c>
      <c r="D12" s="130">
        <f t="shared" si="1"/>
        <v>0</v>
      </c>
      <c r="E12" s="130">
        <f t="shared" si="1"/>
        <v>0</v>
      </c>
      <c r="F12" s="130">
        <f t="shared" si="1"/>
        <v>0</v>
      </c>
      <c r="G12" s="130">
        <f t="shared" si="1"/>
        <v>0</v>
      </c>
      <c r="H12" s="130">
        <f t="shared" si="1"/>
        <v>0</v>
      </c>
      <c r="I12" s="130">
        <f t="shared" si="1"/>
        <v>0</v>
      </c>
      <c r="J12" s="130">
        <f t="shared" si="1"/>
        <v>0</v>
      </c>
      <c r="K12" s="130">
        <f t="shared" si="1"/>
        <v>0</v>
      </c>
      <c r="L12" s="130">
        <f t="shared" si="1"/>
        <v>0</v>
      </c>
      <c r="M12" s="131">
        <f t="shared" si="1"/>
        <v>0</v>
      </c>
    </row>
    <row r="13" spans="2:13" ht="16" thickBot="1" x14ac:dyDescent="0.25"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</row>
    <row r="14" spans="2:13" ht="15.75" customHeight="1" x14ac:dyDescent="0.2">
      <c r="B14" s="94" t="s">
        <v>158</v>
      </c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6"/>
    </row>
    <row r="15" spans="2:13" ht="15" customHeight="1" x14ac:dyDescent="0.2">
      <c r="B15" s="97" t="s">
        <v>159</v>
      </c>
      <c r="C15" s="24" t="s">
        <v>130</v>
      </c>
      <c r="D15" s="24" t="s">
        <v>130</v>
      </c>
      <c r="E15" s="24" t="s">
        <v>130</v>
      </c>
      <c r="F15" s="24" t="s">
        <v>130</v>
      </c>
      <c r="G15" s="24" t="s">
        <v>130</v>
      </c>
      <c r="H15" s="24" t="s">
        <v>130</v>
      </c>
      <c r="I15" s="24" t="s">
        <v>130</v>
      </c>
      <c r="J15" s="24" t="s">
        <v>130</v>
      </c>
      <c r="K15" s="24" t="s">
        <v>130</v>
      </c>
      <c r="L15" s="24" t="s">
        <v>130</v>
      </c>
      <c r="M15" s="132" t="str">
        <f>IFERROR(M8*(1+Assumptions!M49)/(Assumptions!M11-Assumptions!M49),"-")</f>
        <v>-</v>
      </c>
    </row>
    <row r="16" spans="2:13" ht="15" customHeight="1" thickBot="1" x14ac:dyDescent="0.25">
      <c r="B16" s="101" t="s">
        <v>160</v>
      </c>
      <c r="C16" s="133" t="s">
        <v>130</v>
      </c>
      <c r="D16" s="133" t="s">
        <v>130</v>
      </c>
      <c r="E16" s="133" t="s">
        <v>130</v>
      </c>
      <c r="F16" s="133" t="s">
        <v>130</v>
      </c>
      <c r="G16" s="133" t="s">
        <v>130</v>
      </c>
      <c r="H16" s="133" t="s">
        <v>130</v>
      </c>
      <c r="I16" s="133" t="s">
        <v>130</v>
      </c>
      <c r="J16" s="133" t="s">
        <v>130</v>
      </c>
      <c r="K16" s="133" t="s">
        <v>130</v>
      </c>
      <c r="L16" s="133" t="s">
        <v>130</v>
      </c>
      <c r="M16" s="134" t="str">
        <f>IFERROR(M15*M11,"-")</f>
        <v>-</v>
      </c>
    </row>
    <row r="17" spans="2:13" ht="16" thickBot="1" x14ac:dyDescent="0.25">
      <c r="B17" s="92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</row>
    <row r="18" spans="2:13" ht="15.75" customHeight="1" x14ac:dyDescent="0.2">
      <c r="B18" s="94" t="s">
        <v>161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6"/>
    </row>
    <row r="19" spans="2:13" ht="15.75" customHeight="1" x14ac:dyDescent="0.2">
      <c r="B19" s="135" t="s">
        <v>162</v>
      </c>
      <c r="C19" s="37">
        <f>SUM(C12,D12,E12,F12,G12,H12,I12,J12,K12,L12,M12)</f>
        <v>0</v>
      </c>
      <c r="D19" s="36"/>
      <c r="E19" s="38"/>
      <c r="F19" s="28"/>
      <c r="G19" s="28"/>
      <c r="H19" s="28"/>
      <c r="I19" s="28"/>
      <c r="J19" s="28"/>
      <c r="K19" s="28"/>
      <c r="L19" s="28"/>
      <c r="M19" s="136"/>
    </row>
    <row r="20" spans="2:13" ht="15.75" customHeight="1" x14ac:dyDescent="0.2">
      <c r="B20" s="135" t="s">
        <v>163</v>
      </c>
      <c r="C20" s="37" t="str">
        <f>IFERROR(C19+M16,"-")</f>
        <v>-</v>
      </c>
      <c r="D20" s="36"/>
      <c r="E20" s="38"/>
      <c r="F20" s="25"/>
      <c r="G20" s="25"/>
      <c r="H20" s="25"/>
      <c r="I20" s="25"/>
      <c r="J20" s="25"/>
      <c r="K20" s="25"/>
      <c r="L20" s="25"/>
      <c r="M20" s="137"/>
    </row>
    <row r="21" spans="2:13" ht="15.75" customHeight="1" x14ac:dyDescent="0.2">
      <c r="B21" s="135" t="s">
        <v>164</v>
      </c>
      <c r="C21" s="41"/>
      <c r="D21" s="36"/>
      <c r="E21" s="38"/>
      <c r="F21" s="28"/>
      <c r="G21" s="28"/>
      <c r="H21" s="28"/>
      <c r="I21" s="28"/>
      <c r="J21" s="28"/>
      <c r="K21" s="28"/>
      <c r="L21" s="28"/>
      <c r="M21" s="136"/>
    </row>
    <row r="22" spans="2:13" ht="15.75" customHeight="1" x14ac:dyDescent="0.2">
      <c r="B22" s="135" t="s">
        <v>165</v>
      </c>
      <c r="C22" s="39" t="str">
        <f>IFERROR(C20-C21,"-")</f>
        <v>-</v>
      </c>
      <c r="D22" s="36"/>
      <c r="E22" s="36"/>
      <c r="F22" s="7"/>
      <c r="G22" s="7"/>
      <c r="H22" s="7"/>
      <c r="I22" s="7"/>
      <c r="J22" s="7"/>
      <c r="K22" s="7"/>
      <c r="L22" s="7"/>
      <c r="M22" s="100"/>
    </row>
    <row r="23" spans="2:13" ht="15" customHeight="1" thickBot="1" x14ac:dyDescent="0.25">
      <c r="B23" s="138" t="s">
        <v>166</v>
      </c>
      <c r="C23" s="139" t="str">
        <f>IFERROR(C20/M15,"-")</f>
        <v>-</v>
      </c>
      <c r="D23" s="140"/>
      <c r="E23" s="140"/>
      <c r="F23" s="141"/>
      <c r="G23" s="141"/>
      <c r="H23" s="141"/>
      <c r="I23" s="141"/>
      <c r="J23" s="141"/>
      <c r="K23" s="141"/>
      <c r="L23" s="141"/>
      <c r="M23" s="142"/>
    </row>
  </sheetData>
  <mergeCells count="10">
    <mergeCell ref="B1:M1"/>
    <mergeCell ref="B14:M14"/>
    <mergeCell ref="C21:E21"/>
    <mergeCell ref="B18:M18"/>
    <mergeCell ref="B3:M3"/>
    <mergeCell ref="C23:E23"/>
    <mergeCell ref="C20:E20"/>
    <mergeCell ref="C19:E19"/>
    <mergeCell ref="B10:M10"/>
    <mergeCell ref="C22:E2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79998168889431442"/>
  </sheetPr>
  <dimension ref="B1:H11"/>
  <sheetViews>
    <sheetView showGridLines="0" zoomScaleNormal="100" workbookViewId="0">
      <selection activeCell="C27" sqref="C27"/>
    </sheetView>
  </sheetViews>
  <sheetFormatPr baseColWidth="10" defaultColWidth="8.83203125" defaultRowHeight="15" x14ac:dyDescent="0.2"/>
  <cols>
    <col min="1" max="1" width="4.83203125" customWidth="1"/>
    <col min="2" max="2" width="40" customWidth="1"/>
    <col min="3" max="8" width="18" customWidth="1"/>
  </cols>
  <sheetData>
    <row r="1" spans="2:8" ht="24.75" customHeight="1" thickBot="1" x14ac:dyDescent="0.25">
      <c r="B1" s="154" t="s">
        <v>167</v>
      </c>
      <c r="C1" s="155"/>
      <c r="D1" s="155"/>
      <c r="E1" s="155"/>
      <c r="F1" s="155"/>
      <c r="G1" s="155"/>
      <c r="H1" s="156"/>
    </row>
    <row r="2" spans="2:8" ht="16" thickBot="1" x14ac:dyDescent="0.25">
      <c r="B2" s="157"/>
    </row>
    <row r="3" spans="2:8" ht="15" customHeight="1" thickBot="1" x14ac:dyDescent="0.25">
      <c r="B3" s="170" t="s">
        <v>168</v>
      </c>
      <c r="C3" s="170" t="s">
        <v>169</v>
      </c>
      <c r="D3" s="170" t="s">
        <v>170</v>
      </c>
      <c r="E3" s="170" t="s">
        <v>171</v>
      </c>
      <c r="F3" s="170" t="s">
        <v>172</v>
      </c>
      <c r="G3" s="170" t="s">
        <v>173</v>
      </c>
      <c r="H3" s="170" t="s">
        <v>174</v>
      </c>
    </row>
    <row r="4" spans="2:8" ht="15" customHeight="1" x14ac:dyDescent="0.2">
      <c r="B4" s="166" t="s">
        <v>175</v>
      </c>
      <c r="C4" s="167"/>
      <c r="D4" s="167"/>
      <c r="E4" s="167"/>
      <c r="F4" s="168" t="s">
        <v>176</v>
      </c>
      <c r="G4" s="168" t="s">
        <v>176</v>
      </c>
      <c r="H4" s="169" t="s">
        <v>176</v>
      </c>
    </row>
    <row r="5" spans="2:8" ht="15" customHeight="1" x14ac:dyDescent="0.2">
      <c r="B5" s="160" t="s">
        <v>177</v>
      </c>
      <c r="C5" s="31"/>
      <c r="D5" s="31"/>
      <c r="E5" s="31"/>
      <c r="F5" s="32" t="s">
        <v>176</v>
      </c>
      <c r="G5" s="32" t="s">
        <v>176</v>
      </c>
      <c r="H5" s="161" t="s">
        <v>176</v>
      </c>
    </row>
    <row r="6" spans="2:8" ht="15" customHeight="1" x14ac:dyDescent="0.2">
      <c r="B6" s="158" t="s">
        <v>178</v>
      </c>
      <c r="C6" s="29"/>
      <c r="D6" s="29"/>
      <c r="E6" s="29"/>
      <c r="F6" s="30" t="s">
        <v>176</v>
      </c>
      <c r="G6" s="30" t="s">
        <v>176</v>
      </c>
      <c r="H6" s="159" t="s">
        <v>176</v>
      </c>
    </row>
    <row r="7" spans="2:8" ht="15" customHeight="1" x14ac:dyDescent="0.2">
      <c r="B7" s="160" t="s">
        <v>58</v>
      </c>
      <c r="C7" s="31"/>
      <c r="D7" s="31"/>
      <c r="E7" s="31"/>
      <c r="F7" s="32" t="s">
        <v>176</v>
      </c>
      <c r="G7" s="32" t="s">
        <v>176</v>
      </c>
      <c r="H7" s="161" t="s">
        <v>176</v>
      </c>
    </row>
    <row r="8" spans="2:8" ht="15" customHeight="1" x14ac:dyDescent="0.2">
      <c r="B8" s="158" t="s">
        <v>112</v>
      </c>
      <c r="C8" s="29"/>
      <c r="D8" s="29"/>
      <c r="E8" s="29"/>
      <c r="F8" s="30" t="s">
        <v>176</v>
      </c>
      <c r="G8" s="30" t="s">
        <v>176</v>
      </c>
      <c r="H8" s="159" t="s">
        <v>176</v>
      </c>
    </row>
    <row r="9" spans="2:8" ht="15" customHeight="1" thickBot="1" x14ac:dyDescent="0.25">
      <c r="B9" s="162" t="s">
        <v>179</v>
      </c>
      <c r="C9" s="163"/>
      <c r="D9" s="163"/>
      <c r="E9" s="163"/>
      <c r="F9" s="164" t="s">
        <v>176</v>
      </c>
      <c r="G9" s="164" t="s">
        <v>176</v>
      </c>
      <c r="H9" s="165" t="s">
        <v>176</v>
      </c>
    </row>
    <row r="11" spans="2:8" ht="15" customHeight="1" x14ac:dyDescent="0.2">
      <c r="B11" s="42" t="s">
        <v>180</v>
      </c>
      <c r="C11" s="40"/>
      <c r="D11" s="40"/>
      <c r="E11" s="40"/>
      <c r="F11" s="40"/>
      <c r="G11" s="40"/>
      <c r="H11" s="40"/>
    </row>
  </sheetData>
  <mergeCells count="2">
    <mergeCell ref="B11:H11"/>
    <mergeCell ref="B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79998168889431442"/>
  </sheetPr>
  <dimension ref="B1:G12"/>
  <sheetViews>
    <sheetView showGridLines="0" zoomScaleNormal="100" workbookViewId="0">
      <selection activeCell="B19" sqref="B19"/>
    </sheetView>
  </sheetViews>
  <sheetFormatPr baseColWidth="10" defaultColWidth="8.83203125" defaultRowHeight="15" x14ac:dyDescent="0.2"/>
  <cols>
    <col min="1" max="1" width="4.5" customWidth="1"/>
    <col min="2" max="2" width="22" customWidth="1"/>
    <col min="3" max="10" width="14" customWidth="1"/>
  </cols>
  <sheetData>
    <row r="1" spans="2:7" ht="24.75" customHeight="1" thickBot="1" x14ac:dyDescent="0.25">
      <c r="B1" s="154" t="s">
        <v>181</v>
      </c>
      <c r="C1" s="171"/>
      <c r="D1" s="171"/>
      <c r="E1" s="171"/>
      <c r="F1" s="171"/>
      <c r="G1" s="172"/>
    </row>
    <row r="2" spans="2:7" ht="16" thickBot="1" x14ac:dyDescent="0.25"/>
    <row r="3" spans="2:7" ht="15" customHeight="1" thickBot="1" x14ac:dyDescent="0.25">
      <c r="B3" s="170" t="s">
        <v>182</v>
      </c>
      <c r="C3" s="178" t="s">
        <v>183</v>
      </c>
      <c r="D3" s="179" t="s">
        <v>184</v>
      </c>
      <c r="E3" s="179" t="s">
        <v>185</v>
      </c>
      <c r="F3" s="179" t="s">
        <v>186</v>
      </c>
      <c r="G3" s="180" t="s">
        <v>187</v>
      </c>
    </row>
    <row r="4" spans="2:7" ht="15" customHeight="1" x14ac:dyDescent="0.2">
      <c r="B4" s="181" t="s">
        <v>188</v>
      </c>
      <c r="C4" s="34" t="str">
        <f>IFERROR(IF(VALUE($B4)&lt;=VALUE(C$3),"-",(SUM(FCF_DCF!C8/(1+VALUE($B4))^0.5,FCF_DCF!D8/(1+VALUE($B4))^1.5,FCF_DCF!E8/(1+VALUE($B4))^2.5,FCF_DCF!F8/(1+VALUE($B4))^3.5,FCF_DCF!G8/(1+VALUE($B4))^4.5,FCF_DCF!H8/(1+VALUE($B4))^5.5,FCF_DCF!I8/(1+VALUE($B4))^6.5,FCF_DCF!J8/(1+VALUE($B4))^7.5,FCF_DCF!K8/(1+VALUE($B4))^8.5,FCF_DCF!L8/(1+VALUE($B4))^9.5,FCF_DCF!M8/(1+VALUE($B4))^10.5)+(FCF_DCF!M8*(1+VALUE(C$3))/(VALUE($B4)-VALUE(C$3)))/(1+VALUE($B4))^10.5)/1000),"-")</f>
        <v>-</v>
      </c>
      <c r="D4" s="35" t="str">
        <f>IFERROR(IF(VALUE($B4)&lt;=VALUE(D$3),"-",(SUM(FCF_DCF!C8/(1+VALUE($B4))^0.5,FCF_DCF!D8/(1+VALUE($B4))^1.5,FCF_DCF!E8/(1+VALUE($B4))^2.5,FCF_DCF!F8/(1+VALUE($B4))^3.5,FCF_DCF!G8/(1+VALUE($B4))^4.5,FCF_DCF!H8/(1+VALUE($B4))^5.5,FCF_DCF!I8/(1+VALUE($B4))^6.5,FCF_DCF!J8/(1+VALUE($B4))^7.5,FCF_DCF!K8/(1+VALUE($B4))^8.5,FCF_DCF!L8/(1+VALUE($B4))^9.5,FCF_DCF!M8/(1+VALUE($B4))^10.5)+(FCF_DCF!M8*(1+VALUE(D$3))/(VALUE($B4)-VALUE(D$3)))/(1+VALUE($B4))^10.5)/1000),"-")</f>
        <v>-</v>
      </c>
      <c r="E4" s="34" t="str">
        <f>IFERROR(IF(VALUE($B4)&lt;=VALUE(E$3),"-",(SUM(FCF_DCF!C8/(1+VALUE($B4))^0.5,FCF_DCF!D8/(1+VALUE($B4))^1.5,FCF_DCF!E8/(1+VALUE($B4))^2.5,FCF_DCF!F8/(1+VALUE($B4))^3.5,FCF_DCF!G8/(1+VALUE($B4))^4.5,FCF_DCF!H8/(1+VALUE($B4))^5.5,FCF_DCF!I8/(1+VALUE($B4))^6.5,FCF_DCF!J8/(1+VALUE($B4))^7.5,FCF_DCF!K8/(1+VALUE($B4))^8.5,FCF_DCF!L8/(1+VALUE($B4))^9.5,FCF_DCF!M8/(1+VALUE($B4))^10.5)+(FCF_DCF!M8*(1+VALUE(E$3))/(VALUE($B4)-VALUE(E$3)))/(1+VALUE($B4))^10.5)/1000),"-")</f>
        <v>-</v>
      </c>
      <c r="F4" s="35" t="str">
        <f>IFERROR(IF(VALUE($B4)&lt;=VALUE(F$3),"-",(SUM(FCF_DCF!C8/(1+VALUE($B4))^0.5,FCF_DCF!D8/(1+VALUE($B4))^1.5,FCF_DCF!E8/(1+VALUE($B4))^2.5,FCF_DCF!F8/(1+VALUE($B4))^3.5,FCF_DCF!G8/(1+VALUE($B4))^4.5,FCF_DCF!H8/(1+VALUE($B4))^5.5,FCF_DCF!I8/(1+VALUE($B4))^6.5,FCF_DCF!J8/(1+VALUE($B4))^7.5,FCF_DCF!K8/(1+VALUE($B4))^8.5,FCF_DCF!L8/(1+VALUE($B4))^9.5,FCF_DCF!M8/(1+VALUE($B4))^10.5)+(FCF_DCF!M8*(1+VALUE(F$3))/(VALUE($B4)-VALUE(F$3)))/(1+VALUE($B4))^10.5)/1000),"-")</f>
        <v>-</v>
      </c>
      <c r="G4" s="173" t="str">
        <f>IFERROR(IF(VALUE($B4)&lt;=VALUE(G$3),"-",(SUM(FCF_DCF!C8/(1+VALUE($B4))^0.5,FCF_DCF!D8/(1+VALUE($B4))^1.5,FCF_DCF!E8/(1+VALUE($B4))^2.5,FCF_DCF!F8/(1+VALUE($B4))^3.5,FCF_DCF!G8/(1+VALUE($B4))^4.5,FCF_DCF!H8/(1+VALUE($B4))^5.5,FCF_DCF!I8/(1+VALUE($B4))^6.5,FCF_DCF!J8/(1+VALUE($B4))^7.5,FCF_DCF!K8/(1+VALUE($B4))^8.5,FCF_DCF!L8/(1+VALUE($B4))^9.5,FCF_DCF!M8/(1+VALUE($B4))^10.5)+(FCF_DCF!M8*(1+VALUE(G$3))/(VALUE($B4)-VALUE(G$3)))/(1+VALUE($B4))^10.5)/1000),"-")</f>
        <v>-</v>
      </c>
    </row>
    <row r="5" spans="2:7" ht="15" customHeight="1" x14ac:dyDescent="0.2">
      <c r="B5" s="182" t="s">
        <v>189</v>
      </c>
      <c r="C5" s="35" t="str">
        <f>IFERROR(IF(VALUE($B5)&lt;=VALUE(C$3),"-",(SUM(FCF_DCF!C8/(1+VALUE($B5))^0.5,FCF_DCF!D8/(1+VALUE($B5))^1.5,FCF_DCF!E8/(1+VALUE($B5))^2.5,FCF_DCF!F8/(1+VALUE($B5))^3.5,FCF_DCF!G8/(1+VALUE($B5))^4.5,FCF_DCF!H8/(1+VALUE($B5))^5.5,FCF_DCF!I8/(1+VALUE($B5))^6.5,FCF_DCF!J8/(1+VALUE($B5))^7.5,FCF_DCF!K8/(1+VALUE($B5))^8.5,FCF_DCF!L8/(1+VALUE($B5))^9.5,FCF_DCF!M8/(1+VALUE($B5))^10.5)+(FCF_DCF!M8*(1+VALUE(C$3))/(VALUE($B5)-VALUE(C$3)))/(1+VALUE($B5))^10.5)/1000),"-")</f>
        <v>-</v>
      </c>
      <c r="D5" s="34" t="str">
        <f>IFERROR(IF(VALUE($B5)&lt;=VALUE(D$3),"-",(SUM(FCF_DCF!C8/(1+VALUE($B5))^0.5,FCF_DCF!D8/(1+VALUE($B5))^1.5,FCF_DCF!E8/(1+VALUE($B5))^2.5,FCF_DCF!F8/(1+VALUE($B5))^3.5,FCF_DCF!G8/(1+VALUE($B5))^4.5,FCF_DCF!H8/(1+VALUE($B5))^5.5,FCF_DCF!I8/(1+VALUE($B5))^6.5,FCF_DCF!J8/(1+VALUE($B5))^7.5,FCF_DCF!K8/(1+VALUE($B5))^8.5,FCF_DCF!L8/(1+VALUE($B5))^9.5,FCF_DCF!M8/(1+VALUE($B5))^10.5)+(FCF_DCF!M8*(1+VALUE(D$3))/(VALUE($B5)-VALUE(D$3)))/(1+VALUE($B5))^10.5)/1000),"-")</f>
        <v>-</v>
      </c>
      <c r="E5" s="35" t="str">
        <f>IFERROR(IF(VALUE($B5)&lt;=VALUE(E$3),"-",(SUM(FCF_DCF!C8/(1+VALUE($B5))^0.5,FCF_DCF!D8/(1+VALUE($B5))^1.5,FCF_DCF!E8/(1+VALUE($B5))^2.5,FCF_DCF!F8/(1+VALUE($B5))^3.5,FCF_DCF!G8/(1+VALUE($B5))^4.5,FCF_DCF!H8/(1+VALUE($B5))^5.5,FCF_DCF!I8/(1+VALUE($B5))^6.5,FCF_DCF!J8/(1+VALUE($B5))^7.5,FCF_DCF!K8/(1+VALUE($B5))^8.5,FCF_DCF!L8/(1+VALUE($B5))^9.5,FCF_DCF!M8/(1+VALUE($B5))^10.5)+(FCF_DCF!M8*(1+VALUE(E$3))/(VALUE($B5)-VALUE(E$3)))/(1+VALUE($B5))^10.5)/1000),"-")</f>
        <v>-</v>
      </c>
      <c r="F5" s="34" t="str">
        <f>IFERROR(IF(VALUE($B5)&lt;=VALUE(F$3),"-",(SUM(FCF_DCF!C8/(1+VALUE($B5))^0.5,FCF_DCF!D8/(1+VALUE($B5))^1.5,FCF_DCF!E8/(1+VALUE($B5))^2.5,FCF_DCF!F8/(1+VALUE($B5))^3.5,FCF_DCF!G8/(1+VALUE($B5))^4.5,FCF_DCF!H8/(1+VALUE($B5))^5.5,FCF_DCF!I8/(1+VALUE($B5))^6.5,FCF_DCF!J8/(1+VALUE($B5))^7.5,FCF_DCF!K8/(1+VALUE($B5))^8.5,FCF_DCF!L8/(1+VALUE($B5))^9.5,FCF_DCF!M8/(1+VALUE($B5))^10.5)+(FCF_DCF!M8*(1+VALUE(F$3))/(VALUE($B5)-VALUE(F$3)))/(1+VALUE($B5))^10.5)/1000),"-")</f>
        <v>-</v>
      </c>
      <c r="G5" s="174" t="str">
        <f>IFERROR(IF(VALUE($B5)&lt;=VALUE(G$3),"-",(SUM(FCF_DCF!C8/(1+VALUE($B5))^0.5,FCF_DCF!D8/(1+VALUE($B5))^1.5,FCF_DCF!E8/(1+VALUE($B5))^2.5,FCF_DCF!F8/(1+VALUE($B5))^3.5,FCF_DCF!G8/(1+VALUE($B5))^4.5,FCF_DCF!H8/(1+VALUE($B5))^5.5,FCF_DCF!I8/(1+VALUE($B5))^6.5,FCF_DCF!J8/(1+VALUE($B5))^7.5,FCF_DCF!K8/(1+VALUE($B5))^8.5,FCF_DCF!L8/(1+VALUE($B5))^9.5,FCF_DCF!M8/(1+VALUE($B5))^10.5)+(FCF_DCF!M8*(1+VALUE(G$3))/(VALUE($B5)-VALUE(G$3)))/(1+VALUE($B5))^10.5)/1000),"-")</f>
        <v>-</v>
      </c>
    </row>
    <row r="6" spans="2:7" ht="15" customHeight="1" x14ac:dyDescent="0.2">
      <c r="B6" s="182" t="s">
        <v>190</v>
      </c>
      <c r="C6" s="34" t="str">
        <f>IFERROR(IF(VALUE($B6)&lt;=VALUE(C$3),"-",(SUM(FCF_DCF!C8/(1+VALUE($B6))^0.5,FCF_DCF!D8/(1+VALUE($B6))^1.5,FCF_DCF!E8/(1+VALUE($B6))^2.5,FCF_DCF!F8/(1+VALUE($B6))^3.5,FCF_DCF!G8/(1+VALUE($B6))^4.5,FCF_DCF!H8/(1+VALUE($B6))^5.5,FCF_DCF!I8/(1+VALUE($B6))^6.5,FCF_DCF!J8/(1+VALUE($B6))^7.5,FCF_DCF!K8/(1+VALUE($B6))^8.5,FCF_DCF!L8/(1+VALUE($B6))^9.5,FCF_DCF!M8/(1+VALUE($B6))^10.5)+(FCF_DCF!M8*(1+VALUE(C$3))/(VALUE($B6)-VALUE(C$3)))/(1+VALUE($B6))^10.5)/1000),"-")</f>
        <v>-</v>
      </c>
      <c r="D6" s="35" t="str">
        <f>IFERROR(IF(VALUE($B6)&lt;=VALUE(D$3),"-",(SUM(FCF_DCF!C8/(1+VALUE($B6))^0.5,FCF_DCF!D8/(1+VALUE($B6))^1.5,FCF_DCF!E8/(1+VALUE($B6))^2.5,FCF_DCF!F8/(1+VALUE($B6))^3.5,FCF_DCF!G8/(1+VALUE($B6))^4.5,FCF_DCF!H8/(1+VALUE($B6))^5.5,FCF_DCF!I8/(1+VALUE($B6))^6.5,FCF_DCF!J8/(1+VALUE($B6))^7.5,FCF_DCF!K8/(1+VALUE($B6))^8.5,FCF_DCF!L8/(1+VALUE($B6))^9.5,FCF_DCF!M8/(1+VALUE($B6))^10.5)+(FCF_DCF!M8*(1+VALUE(D$3))/(VALUE($B6)-VALUE(D$3)))/(1+VALUE($B6))^10.5)/1000),"-")</f>
        <v>-</v>
      </c>
      <c r="E6" s="34" t="str">
        <f>IFERROR(IF(VALUE($B6)&lt;=VALUE(E$3),"-",(SUM(FCF_DCF!C8/(1+VALUE($B6))^0.5,FCF_DCF!D8/(1+VALUE($B6))^1.5,FCF_DCF!E8/(1+VALUE($B6))^2.5,FCF_DCF!F8/(1+VALUE($B6))^3.5,FCF_DCF!G8/(1+VALUE($B6))^4.5,FCF_DCF!H8/(1+VALUE($B6))^5.5,FCF_DCF!I8/(1+VALUE($B6))^6.5,FCF_DCF!J8/(1+VALUE($B6))^7.5,FCF_DCF!K8/(1+VALUE($B6))^8.5,FCF_DCF!L8/(1+VALUE($B6))^9.5,FCF_DCF!M8/(1+VALUE($B6))^10.5)+(FCF_DCF!M8*(1+VALUE(E$3))/(VALUE($B6)-VALUE(E$3)))/(1+VALUE($B6))^10.5)/1000),"-")</f>
        <v>-</v>
      </c>
      <c r="F6" s="35" t="str">
        <f>IFERROR(IF(VALUE($B6)&lt;=VALUE(F$3),"-",(SUM(FCF_DCF!C8/(1+VALUE($B6))^0.5,FCF_DCF!D8/(1+VALUE($B6))^1.5,FCF_DCF!E8/(1+VALUE($B6))^2.5,FCF_DCF!F8/(1+VALUE($B6))^3.5,FCF_DCF!G8/(1+VALUE($B6))^4.5,FCF_DCF!H8/(1+VALUE($B6))^5.5,FCF_DCF!I8/(1+VALUE($B6))^6.5,FCF_DCF!J8/(1+VALUE($B6))^7.5,FCF_DCF!K8/(1+VALUE($B6))^8.5,FCF_DCF!L8/(1+VALUE($B6))^9.5,FCF_DCF!M8/(1+VALUE($B6))^10.5)+(FCF_DCF!M8*(1+VALUE(F$3))/(VALUE($B6)-VALUE(F$3)))/(1+VALUE($B6))^10.5)/1000),"-")</f>
        <v>-</v>
      </c>
      <c r="G6" s="173" t="str">
        <f>IFERROR(IF(VALUE($B6)&lt;=VALUE(G$3),"-",(SUM(FCF_DCF!C8/(1+VALUE($B6))^0.5,FCF_DCF!D8/(1+VALUE($B6))^1.5,FCF_DCF!E8/(1+VALUE($B6))^2.5,FCF_DCF!F8/(1+VALUE($B6))^3.5,FCF_DCF!G8/(1+VALUE($B6))^4.5,FCF_DCF!H8/(1+VALUE($B6))^5.5,FCF_DCF!I8/(1+VALUE($B6))^6.5,FCF_DCF!J8/(1+VALUE($B6))^7.5,FCF_DCF!K8/(1+VALUE($B6))^8.5,FCF_DCF!L8/(1+VALUE($B6))^9.5,FCF_DCF!M8/(1+VALUE($B6))^10.5)+(FCF_DCF!M8*(1+VALUE(G$3))/(VALUE($B6)-VALUE(G$3)))/(1+VALUE($B6))^10.5)/1000),"-")</f>
        <v>-</v>
      </c>
    </row>
    <row r="7" spans="2:7" ht="15" customHeight="1" x14ac:dyDescent="0.2">
      <c r="B7" s="182" t="s">
        <v>191</v>
      </c>
      <c r="C7" s="35" t="str">
        <f>IFERROR(IF(VALUE($B7)&lt;=VALUE(C$3),"-",(SUM(FCF_DCF!C8/(1+VALUE($B7))^0.5,FCF_DCF!D8/(1+VALUE($B7))^1.5,FCF_DCF!E8/(1+VALUE($B7))^2.5,FCF_DCF!F8/(1+VALUE($B7))^3.5,FCF_DCF!G8/(1+VALUE($B7))^4.5,FCF_DCF!H8/(1+VALUE($B7))^5.5,FCF_DCF!I8/(1+VALUE($B7))^6.5,FCF_DCF!J8/(1+VALUE($B7))^7.5,FCF_DCF!K8/(1+VALUE($B7))^8.5,FCF_DCF!L8/(1+VALUE($B7))^9.5,FCF_DCF!M8/(1+VALUE($B7))^10.5)+(FCF_DCF!M8*(1+VALUE(C$3))/(VALUE($B7)-VALUE(C$3)))/(1+VALUE($B7))^10.5)/1000),"-")</f>
        <v>-</v>
      </c>
      <c r="D7" s="34" t="str">
        <f>IFERROR(IF(VALUE($B7)&lt;=VALUE(D$3),"-",(SUM(FCF_DCF!C8/(1+VALUE($B7))^0.5,FCF_DCF!D8/(1+VALUE($B7))^1.5,FCF_DCF!E8/(1+VALUE($B7))^2.5,FCF_DCF!F8/(1+VALUE($B7))^3.5,FCF_DCF!G8/(1+VALUE($B7))^4.5,FCF_DCF!H8/(1+VALUE($B7))^5.5,FCF_DCF!I8/(1+VALUE($B7))^6.5,FCF_DCF!J8/(1+VALUE($B7))^7.5,FCF_DCF!K8/(1+VALUE($B7))^8.5,FCF_DCF!L8/(1+VALUE($B7))^9.5,FCF_DCF!M8/(1+VALUE($B7))^10.5)+(FCF_DCF!M8*(1+VALUE(D$3))/(VALUE($B7)-VALUE(D$3)))/(1+VALUE($B7))^10.5)/1000),"-")</f>
        <v>-</v>
      </c>
      <c r="E7" s="35" t="str">
        <f>IFERROR(IF(VALUE($B7)&lt;=VALUE(E$3),"-",(SUM(FCF_DCF!C8/(1+VALUE($B7))^0.5,FCF_DCF!D8/(1+VALUE($B7))^1.5,FCF_DCF!E8/(1+VALUE($B7))^2.5,FCF_DCF!F8/(1+VALUE($B7))^3.5,FCF_DCF!G8/(1+VALUE($B7))^4.5,FCF_DCF!H8/(1+VALUE($B7))^5.5,FCF_DCF!I8/(1+VALUE($B7))^6.5,FCF_DCF!J8/(1+VALUE($B7))^7.5,FCF_DCF!K8/(1+VALUE($B7))^8.5,FCF_DCF!L8/(1+VALUE($B7))^9.5,FCF_DCF!M8/(1+VALUE($B7))^10.5)+(FCF_DCF!M8*(1+VALUE(E$3))/(VALUE($B7)-VALUE(E$3)))/(1+VALUE($B7))^10.5)/1000),"-")</f>
        <v>-</v>
      </c>
      <c r="F7" s="34" t="str">
        <f>IFERROR(IF(VALUE($B7)&lt;=VALUE(F$3),"-",(SUM(FCF_DCF!C8/(1+VALUE($B7))^0.5,FCF_DCF!D8/(1+VALUE($B7))^1.5,FCF_DCF!E8/(1+VALUE($B7))^2.5,FCF_DCF!F8/(1+VALUE($B7))^3.5,FCF_DCF!G8/(1+VALUE($B7))^4.5,FCF_DCF!H8/(1+VALUE($B7))^5.5,FCF_DCF!I8/(1+VALUE($B7))^6.5,FCF_DCF!J8/(1+VALUE($B7))^7.5,FCF_DCF!K8/(1+VALUE($B7))^8.5,FCF_DCF!L8/(1+VALUE($B7))^9.5,FCF_DCF!M8/(1+VALUE($B7))^10.5)+(FCF_DCF!M8*(1+VALUE(F$3))/(VALUE($B7)-VALUE(F$3)))/(1+VALUE($B7))^10.5)/1000),"-")</f>
        <v>-</v>
      </c>
      <c r="G7" s="174" t="str">
        <f>IFERROR(IF(VALUE($B7)&lt;=VALUE(G$3),"-",(SUM(FCF_DCF!C8/(1+VALUE($B7))^0.5,FCF_DCF!D8/(1+VALUE($B7))^1.5,FCF_DCF!E8/(1+VALUE($B7))^2.5,FCF_DCF!F8/(1+VALUE($B7))^3.5,FCF_DCF!G8/(1+VALUE($B7))^4.5,FCF_DCF!H8/(1+VALUE($B7))^5.5,FCF_DCF!I8/(1+VALUE($B7))^6.5,FCF_DCF!J8/(1+VALUE($B7))^7.5,FCF_DCF!K8/(1+VALUE($B7))^8.5,FCF_DCF!L8/(1+VALUE($B7))^9.5,FCF_DCF!M8/(1+VALUE($B7))^10.5)+(FCF_DCF!M8*(1+VALUE(G$3))/(VALUE($B7)-VALUE(G$3)))/(1+VALUE($B7))^10.5)/1000),"-")</f>
        <v>-</v>
      </c>
    </row>
    <row r="8" spans="2:7" ht="15" customHeight="1" x14ac:dyDescent="0.2">
      <c r="B8" s="182" t="s">
        <v>192</v>
      </c>
      <c r="C8" s="34" t="str">
        <f>IFERROR(IF(VALUE($B8)&lt;=VALUE(C$3),"-",(SUM(FCF_DCF!C8/(1+VALUE($B8))^0.5,FCF_DCF!D8/(1+VALUE($B8))^1.5,FCF_DCF!E8/(1+VALUE($B8))^2.5,FCF_DCF!F8/(1+VALUE($B8))^3.5,FCF_DCF!G8/(1+VALUE($B8))^4.5,FCF_DCF!H8/(1+VALUE($B8))^5.5,FCF_DCF!I8/(1+VALUE($B8))^6.5,FCF_DCF!J8/(1+VALUE($B8))^7.5,FCF_DCF!K8/(1+VALUE($B8))^8.5,FCF_DCF!L8/(1+VALUE($B8))^9.5,FCF_DCF!M8/(1+VALUE($B8))^10.5)+(FCF_DCF!M8*(1+VALUE(C$3))/(VALUE($B8)-VALUE(C$3)))/(1+VALUE($B8))^10.5)/1000),"-")</f>
        <v>-</v>
      </c>
      <c r="D8" s="35" t="str">
        <f>IFERROR(IF(VALUE($B8)&lt;=VALUE(D$3),"-",(SUM(FCF_DCF!C8/(1+VALUE($B8))^0.5,FCF_DCF!D8/(1+VALUE($B8))^1.5,FCF_DCF!E8/(1+VALUE($B8))^2.5,FCF_DCF!F8/(1+VALUE($B8))^3.5,FCF_DCF!G8/(1+VALUE($B8))^4.5,FCF_DCF!H8/(1+VALUE($B8))^5.5,FCF_DCF!I8/(1+VALUE($B8))^6.5,FCF_DCF!J8/(1+VALUE($B8))^7.5,FCF_DCF!K8/(1+VALUE($B8))^8.5,FCF_DCF!L8/(1+VALUE($B8))^9.5,FCF_DCF!M8/(1+VALUE($B8))^10.5)+(FCF_DCF!M8*(1+VALUE(D$3))/(VALUE($B8)-VALUE(D$3)))/(1+VALUE($B8))^10.5)/1000),"-")</f>
        <v>-</v>
      </c>
      <c r="E8" s="34" t="str">
        <f>IFERROR(IF(VALUE($B8)&lt;=VALUE(E$3),"-",(SUM(FCF_DCF!C8/(1+VALUE($B8))^0.5,FCF_DCF!D8/(1+VALUE($B8))^1.5,FCF_DCF!E8/(1+VALUE($B8))^2.5,FCF_DCF!F8/(1+VALUE($B8))^3.5,FCF_DCF!G8/(1+VALUE($B8))^4.5,FCF_DCF!H8/(1+VALUE($B8))^5.5,FCF_DCF!I8/(1+VALUE($B8))^6.5,FCF_DCF!J8/(1+VALUE($B8))^7.5,FCF_DCF!K8/(1+VALUE($B8))^8.5,FCF_DCF!L8/(1+VALUE($B8))^9.5,FCF_DCF!M8/(1+VALUE($B8))^10.5)+(FCF_DCF!M8*(1+VALUE(E$3))/(VALUE($B8)-VALUE(E$3)))/(1+VALUE($B8))^10.5)/1000),"-")</f>
        <v>-</v>
      </c>
      <c r="F8" s="35" t="str">
        <f>IFERROR(IF(VALUE($B8)&lt;=VALUE(F$3),"-",(SUM(FCF_DCF!C8/(1+VALUE($B8))^0.5,FCF_DCF!D8/(1+VALUE($B8))^1.5,FCF_DCF!E8/(1+VALUE($B8))^2.5,FCF_DCF!F8/(1+VALUE($B8))^3.5,FCF_DCF!G8/(1+VALUE($B8))^4.5,FCF_DCF!H8/(1+VALUE($B8))^5.5,FCF_DCF!I8/(1+VALUE($B8))^6.5,FCF_DCF!J8/(1+VALUE($B8))^7.5,FCF_DCF!K8/(1+VALUE($B8))^8.5,FCF_DCF!L8/(1+VALUE($B8))^9.5,FCF_DCF!M8/(1+VALUE($B8))^10.5)+(FCF_DCF!M8*(1+VALUE(F$3))/(VALUE($B8)-VALUE(F$3)))/(1+VALUE($B8))^10.5)/1000),"-")</f>
        <v>-</v>
      </c>
      <c r="G8" s="173" t="str">
        <f>IFERROR(IF(VALUE($B8)&lt;=VALUE(G$3),"-",(SUM(FCF_DCF!C8/(1+VALUE($B8))^0.5,FCF_DCF!D8/(1+VALUE($B8))^1.5,FCF_DCF!E8/(1+VALUE($B8))^2.5,FCF_DCF!F8/(1+VALUE($B8))^3.5,FCF_DCF!G8/(1+VALUE($B8))^4.5,FCF_DCF!H8/(1+VALUE($B8))^5.5,FCF_DCF!I8/(1+VALUE($B8))^6.5,FCF_DCF!J8/(1+VALUE($B8))^7.5,FCF_DCF!K8/(1+VALUE($B8))^8.5,FCF_DCF!L8/(1+VALUE($B8))^9.5,FCF_DCF!M8/(1+VALUE($B8))^10.5)+(FCF_DCF!M8*(1+VALUE(G$3))/(VALUE($B8)-VALUE(G$3)))/(1+VALUE($B8))^10.5)/1000),"-")</f>
        <v>-</v>
      </c>
    </row>
    <row r="9" spans="2:7" ht="15" customHeight="1" x14ac:dyDescent="0.2">
      <c r="B9" s="182" t="s">
        <v>193</v>
      </c>
      <c r="C9" s="35" t="str">
        <f>IFERROR(IF(VALUE($B9)&lt;=VALUE(C$3),"-",(SUM(FCF_DCF!C8/(1+VALUE($B9))^0.5,FCF_DCF!D8/(1+VALUE($B9))^1.5,FCF_DCF!E8/(1+VALUE($B9))^2.5,FCF_DCF!F8/(1+VALUE($B9))^3.5,FCF_DCF!G8/(1+VALUE($B9))^4.5,FCF_DCF!H8/(1+VALUE($B9))^5.5,FCF_DCF!I8/(1+VALUE($B9))^6.5,FCF_DCF!J8/(1+VALUE($B9))^7.5,FCF_DCF!K8/(1+VALUE($B9))^8.5,FCF_DCF!L8/(1+VALUE($B9))^9.5,FCF_DCF!M8/(1+VALUE($B9))^10.5)+(FCF_DCF!M8*(1+VALUE(C$3))/(VALUE($B9)-VALUE(C$3)))/(1+VALUE($B9))^10.5)/1000),"-")</f>
        <v>-</v>
      </c>
      <c r="D9" s="34" t="str">
        <f>IFERROR(IF(VALUE($B9)&lt;=VALUE(D$3),"-",(SUM(FCF_DCF!C8/(1+VALUE($B9))^0.5,FCF_DCF!D8/(1+VALUE($B9))^1.5,FCF_DCF!E8/(1+VALUE($B9))^2.5,FCF_DCF!F8/(1+VALUE($B9))^3.5,FCF_DCF!G8/(1+VALUE($B9))^4.5,FCF_DCF!H8/(1+VALUE($B9))^5.5,FCF_DCF!I8/(1+VALUE($B9))^6.5,FCF_DCF!J8/(1+VALUE($B9))^7.5,FCF_DCF!K8/(1+VALUE($B9))^8.5,FCF_DCF!L8/(1+VALUE($B9))^9.5,FCF_DCF!M8/(1+VALUE($B9))^10.5)+(FCF_DCF!M8*(1+VALUE(D$3))/(VALUE($B9)-VALUE(D$3)))/(1+VALUE($B9))^10.5)/1000),"-")</f>
        <v>-</v>
      </c>
      <c r="E9" s="35" t="str">
        <f>IFERROR(IF(VALUE($B9)&lt;=VALUE(E$3),"-",(SUM(FCF_DCF!C8/(1+VALUE($B9))^0.5,FCF_DCF!D8/(1+VALUE($B9))^1.5,FCF_DCF!E8/(1+VALUE($B9))^2.5,FCF_DCF!F8/(1+VALUE($B9))^3.5,FCF_DCF!G8/(1+VALUE($B9))^4.5,FCF_DCF!H8/(1+VALUE($B9))^5.5,FCF_DCF!I8/(1+VALUE($B9))^6.5,FCF_DCF!J8/(1+VALUE($B9))^7.5,FCF_DCF!K8/(1+VALUE($B9))^8.5,FCF_DCF!L8/(1+VALUE($B9))^9.5,FCF_DCF!M8/(1+VALUE($B9))^10.5)+(FCF_DCF!M8*(1+VALUE(E$3))/(VALUE($B9)-VALUE(E$3)))/(1+VALUE($B9))^10.5)/1000),"-")</f>
        <v>-</v>
      </c>
      <c r="F9" s="34" t="str">
        <f>IFERROR(IF(VALUE($B9)&lt;=VALUE(F$3),"-",(SUM(FCF_DCF!C8/(1+VALUE($B9))^0.5,FCF_DCF!D8/(1+VALUE($B9))^1.5,FCF_DCF!E8/(1+VALUE($B9))^2.5,FCF_DCF!F8/(1+VALUE($B9))^3.5,FCF_DCF!G8/(1+VALUE($B9))^4.5,FCF_DCF!H8/(1+VALUE($B9))^5.5,FCF_DCF!I8/(1+VALUE($B9))^6.5,FCF_DCF!J8/(1+VALUE($B9))^7.5,FCF_DCF!K8/(1+VALUE($B9))^8.5,FCF_DCF!L8/(1+VALUE($B9))^9.5,FCF_DCF!M8/(1+VALUE($B9))^10.5)+(FCF_DCF!M8*(1+VALUE(F$3))/(VALUE($B9)-VALUE(F$3)))/(1+VALUE($B9))^10.5)/1000),"-")</f>
        <v>-</v>
      </c>
      <c r="G9" s="174" t="str">
        <f>IFERROR(IF(VALUE($B9)&lt;=VALUE(G$3),"-",(SUM(FCF_DCF!C8/(1+VALUE($B9))^0.5,FCF_DCF!D8/(1+VALUE($B9))^1.5,FCF_DCF!E8/(1+VALUE($B9))^2.5,FCF_DCF!F8/(1+VALUE($B9))^3.5,FCF_DCF!G8/(1+VALUE($B9))^4.5,FCF_DCF!H8/(1+VALUE($B9))^5.5,FCF_DCF!I8/(1+VALUE($B9))^6.5,FCF_DCF!J8/(1+VALUE($B9))^7.5,FCF_DCF!K8/(1+VALUE($B9))^8.5,FCF_DCF!L8/(1+VALUE($B9))^9.5,FCF_DCF!M8/(1+VALUE($B9))^10.5)+(FCF_DCF!M8*(1+VALUE(G$3))/(VALUE($B9)-VALUE(G$3)))/(1+VALUE($B9))^10.5)/1000),"-")</f>
        <v>-</v>
      </c>
    </row>
    <row r="10" spans="2:7" ht="15" customHeight="1" thickBot="1" x14ac:dyDescent="0.25">
      <c r="B10" s="183" t="s">
        <v>194</v>
      </c>
      <c r="C10" s="175" t="str">
        <f>IFERROR(IF(VALUE($B10)&lt;=VALUE(C$3),"-",(SUM(FCF_DCF!C8/(1+VALUE($B10))^0.5,FCF_DCF!D8/(1+VALUE($B10))^1.5,FCF_DCF!E8/(1+VALUE($B10))^2.5,FCF_DCF!F8/(1+VALUE($B10))^3.5,FCF_DCF!G8/(1+VALUE($B10))^4.5,FCF_DCF!H8/(1+VALUE($B10))^5.5,FCF_DCF!I8/(1+VALUE($B10))^6.5,FCF_DCF!J8/(1+VALUE($B10))^7.5,FCF_DCF!K8/(1+VALUE($B10))^8.5,FCF_DCF!L8/(1+VALUE($B10))^9.5,FCF_DCF!M8/(1+VALUE($B10))^10.5)+(FCF_DCF!M8*(1+VALUE(C$3))/(VALUE($B10)-VALUE(C$3)))/(1+VALUE($B10))^10.5)/1000),"-")</f>
        <v>-</v>
      </c>
      <c r="D10" s="176" t="str">
        <f>IFERROR(IF(VALUE($B10)&lt;=VALUE(D$3),"-",(SUM(FCF_DCF!C8/(1+VALUE($B10))^0.5,FCF_DCF!D8/(1+VALUE($B10))^1.5,FCF_DCF!E8/(1+VALUE($B10))^2.5,FCF_DCF!F8/(1+VALUE($B10))^3.5,FCF_DCF!G8/(1+VALUE($B10))^4.5,FCF_DCF!H8/(1+VALUE($B10))^5.5,FCF_DCF!I8/(1+VALUE($B10))^6.5,FCF_DCF!J8/(1+VALUE($B10))^7.5,FCF_DCF!K8/(1+VALUE($B10))^8.5,FCF_DCF!L8/(1+VALUE($B10))^9.5,FCF_DCF!M8/(1+VALUE($B10))^10.5)+(FCF_DCF!M8*(1+VALUE(D$3))/(VALUE($B10)-VALUE(D$3)))/(1+VALUE($B10))^10.5)/1000),"-")</f>
        <v>-</v>
      </c>
      <c r="E10" s="175" t="str">
        <f>IFERROR(IF(VALUE($B10)&lt;=VALUE(E$3),"-",(SUM(FCF_DCF!C8/(1+VALUE($B10))^0.5,FCF_DCF!D8/(1+VALUE($B10))^1.5,FCF_DCF!E8/(1+VALUE($B10))^2.5,FCF_DCF!F8/(1+VALUE($B10))^3.5,FCF_DCF!G8/(1+VALUE($B10))^4.5,FCF_DCF!H8/(1+VALUE($B10))^5.5,FCF_DCF!I8/(1+VALUE($B10))^6.5,FCF_DCF!J8/(1+VALUE($B10))^7.5,FCF_DCF!K8/(1+VALUE($B10))^8.5,FCF_DCF!L8/(1+VALUE($B10))^9.5,FCF_DCF!M8/(1+VALUE($B10))^10.5)+(FCF_DCF!M8*(1+VALUE(E$3))/(VALUE($B10)-VALUE(E$3)))/(1+VALUE($B10))^10.5)/1000),"-")</f>
        <v>-</v>
      </c>
      <c r="F10" s="176" t="str">
        <f>IFERROR(IF(VALUE($B10)&lt;=VALUE(F$3),"-",(SUM(FCF_DCF!C8/(1+VALUE($B10))^0.5,FCF_DCF!D8/(1+VALUE($B10))^1.5,FCF_DCF!E8/(1+VALUE($B10))^2.5,FCF_DCF!F8/(1+VALUE($B10))^3.5,FCF_DCF!G8/(1+VALUE($B10))^4.5,FCF_DCF!H8/(1+VALUE($B10))^5.5,FCF_DCF!I8/(1+VALUE($B10))^6.5,FCF_DCF!J8/(1+VALUE($B10))^7.5,FCF_DCF!K8/(1+VALUE($B10))^8.5,FCF_DCF!L8/(1+VALUE($B10))^9.5,FCF_DCF!M8/(1+VALUE($B10))^10.5)+(FCF_DCF!M8*(1+VALUE(F$3))/(VALUE($B10)-VALUE(F$3)))/(1+VALUE($B10))^10.5)/1000),"-")</f>
        <v>-</v>
      </c>
      <c r="G10" s="177" t="str">
        <f>IFERROR(IF(VALUE($B10)&lt;=VALUE(G$3),"-",(SUM(FCF_DCF!C8/(1+VALUE($B10))^0.5,FCF_DCF!D8/(1+VALUE($B10))^1.5,FCF_DCF!E8/(1+VALUE($B10))^2.5,FCF_DCF!F8/(1+VALUE($B10))^3.5,FCF_DCF!G8/(1+VALUE($B10))^4.5,FCF_DCF!H8/(1+VALUE($B10))^5.5,FCF_DCF!I8/(1+VALUE($B10))^6.5,FCF_DCF!J8/(1+VALUE($B10))^7.5,FCF_DCF!K8/(1+VALUE($B10))^8.5,FCF_DCF!L8/(1+VALUE($B10))^9.5,FCF_DCF!M8/(1+VALUE($B10))^10.5)+(FCF_DCF!M8*(1+VALUE(G$3))/(VALUE($B10)-VALUE(G$3)))/(1+VALUE($B10))^10.5)/1000),"-")</f>
        <v>-</v>
      </c>
    </row>
    <row r="12" spans="2:7" ht="15" customHeight="1" x14ac:dyDescent="0.2">
      <c r="B12" s="33" t="s">
        <v>195</v>
      </c>
    </row>
  </sheetData>
  <mergeCells count="1">
    <mergeCell ref="B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79998168889431442"/>
  </sheetPr>
  <dimension ref="A1:L119"/>
  <sheetViews>
    <sheetView showGridLines="0" topLeftCell="A47" zoomScale="119" zoomScaleNormal="100" workbookViewId="0">
      <selection activeCell="B4" sqref="B4:L4"/>
    </sheetView>
  </sheetViews>
  <sheetFormatPr baseColWidth="10" defaultColWidth="8.6640625" defaultRowHeight="15" x14ac:dyDescent="0.2"/>
  <cols>
    <col min="1" max="1" width="3.5" customWidth="1"/>
    <col min="2" max="2" width="18" customWidth="1"/>
    <col min="3" max="4" width="14" customWidth="1"/>
    <col min="5" max="5" width="9.1640625" bestFit="1" customWidth="1"/>
    <col min="6" max="6" width="18" customWidth="1"/>
    <col min="7" max="8" width="14" customWidth="1"/>
    <col min="9" max="9" width="9.83203125" customWidth="1"/>
    <col min="10" max="10" width="18" customWidth="1"/>
    <col min="11" max="12" width="14" customWidth="1"/>
  </cols>
  <sheetData>
    <row r="1" spans="1:12" ht="13.5" customHeight="1" x14ac:dyDescent="0.2">
      <c r="A1" s="225"/>
      <c r="B1" s="184" t="s">
        <v>196</v>
      </c>
      <c r="C1" s="195"/>
      <c r="D1" s="195"/>
      <c r="E1" s="195"/>
      <c r="F1" s="195"/>
      <c r="G1" s="195"/>
      <c r="H1" s="195"/>
      <c r="I1" s="195"/>
      <c r="J1" s="195"/>
      <c r="K1" s="195"/>
      <c r="L1" s="269"/>
    </row>
    <row r="2" spans="1:12" ht="21.75" customHeight="1" x14ac:dyDescent="0.2">
      <c r="A2" s="225"/>
      <c r="B2" s="196"/>
      <c r="C2" s="197"/>
      <c r="D2" s="197"/>
      <c r="E2" s="197"/>
      <c r="F2" s="197"/>
      <c r="G2" s="197"/>
      <c r="H2" s="197"/>
      <c r="I2" s="197"/>
      <c r="J2" s="197"/>
      <c r="K2" s="197"/>
      <c r="L2" s="270"/>
    </row>
    <row r="3" spans="1:12" ht="13.5" customHeight="1" thickBot="1" x14ac:dyDescent="0.25">
      <c r="A3" s="225"/>
      <c r="B3" s="198"/>
      <c r="C3" s="199"/>
      <c r="D3" s="199"/>
      <c r="E3" s="199"/>
      <c r="F3" s="199"/>
      <c r="G3" s="199"/>
      <c r="H3" s="199"/>
      <c r="I3" s="199"/>
      <c r="J3" s="199"/>
      <c r="K3" s="199"/>
      <c r="L3" s="271"/>
    </row>
    <row r="4" spans="1:12" ht="15.75" customHeight="1" thickBot="1" x14ac:dyDescent="0.25">
      <c r="A4" s="225"/>
      <c r="B4" s="189" t="s">
        <v>197</v>
      </c>
      <c r="C4" s="268"/>
      <c r="D4" s="268"/>
      <c r="E4" s="268"/>
      <c r="F4" s="268"/>
      <c r="G4" s="268"/>
      <c r="H4" s="268"/>
      <c r="I4" s="268"/>
      <c r="J4" s="268"/>
      <c r="K4" s="268"/>
      <c r="L4" s="268"/>
    </row>
    <row r="5" spans="1:12" ht="15.75" customHeight="1" thickBot="1" x14ac:dyDescent="0.25">
      <c r="A5" s="224"/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</row>
    <row r="6" spans="1:12" ht="18" customHeight="1" thickBot="1" x14ac:dyDescent="0.25">
      <c r="A6" s="225"/>
      <c r="B6" s="77" t="s">
        <v>198</v>
      </c>
      <c r="C6" s="218"/>
      <c r="D6" s="218"/>
      <c r="E6" s="218"/>
      <c r="F6" s="218"/>
      <c r="G6" s="218"/>
      <c r="H6" s="218"/>
      <c r="I6" s="218"/>
      <c r="J6" s="218"/>
      <c r="K6" s="218"/>
      <c r="L6" s="219"/>
    </row>
    <row r="7" spans="1:12" ht="18" customHeight="1" x14ac:dyDescent="0.2">
      <c r="A7" s="225"/>
      <c r="B7" s="226" t="s">
        <v>199</v>
      </c>
      <c r="C7" s="185"/>
      <c r="D7" s="185"/>
      <c r="E7" s="193"/>
      <c r="F7" s="190" t="s">
        <v>200</v>
      </c>
      <c r="G7" s="185"/>
      <c r="H7" s="185"/>
      <c r="I7" s="193"/>
      <c r="J7" s="191" t="s">
        <v>201</v>
      </c>
      <c r="K7" s="185"/>
      <c r="L7" s="186"/>
    </row>
    <row r="8" spans="1:12" ht="18" customHeight="1" x14ac:dyDescent="0.2">
      <c r="A8" s="225"/>
      <c r="B8" s="227" t="str">
        <f>IFERROR(FCF_DCF!C20,"-")</f>
        <v>-</v>
      </c>
      <c r="C8" s="185"/>
      <c r="D8" s="185"/>
      <c r="E8" s="193"/>
      <c r="F8" s="47" t="str">
        <f>IFERROR(FCF_DCF!C22,"-")</f>
        <v>-</v>
      </c>
      <c r="G8" s="185"/>
      <c r="H8" s="185"/>
      <c r="I8" s="193"/>
      <c r="J8" s="45">
        <f>Assumptions!C11</f>
        <v>0</v>
      </c>
      <c r="K8" s="185"/>
      <c r="L8" s="186"/>
    </row>
    <row r="9" spans="1:12" ht="18" customHeight="1" x14ac:dyDescent="0.2">
      <c r="A9" s="225"/>
      <c r="B9" s="228"/>
      <c r="C9" s="185"/>
      <c r="D9" s="185"/>
      <c r="E9" s="193"/>
      <c r="F9" s="54"/>
      <c r="G9" s="185"/>
      <c r="H9" s="185"/>
      <c r="I9" s="193"/>
      <c r="J9" s="43"/>
      <c r="K9" s="185"/>
      <c r="L9" s="186"/>
    </row>
    <row r="10" spans="1:12" ht="18" customHeight="1" thickBot="1" x14ac:dyDescent="0.25">
      <c r="A10" s="225"/>
      <c r="B10" s="229" t="s">
        <v>202</v>
      </c>
      <c r="C10" s="187"/>
      <c r="D10" s="187"/>
      <c r="E10" s="194"/>
      <c r="F10" s="201" t="s">
        <v>203</v>
      </c>
      <c r="G10" s="187"/>
      <c r="H10" s="187"/>
      <c r="I10" s="194"/>
      <c r="J10" s="202" t="s">
        <v>204</v>
      </c>
      <c r="K10" s="187"/>
      <c r="L10" s="188"/>
    </row>
    <row r="11" spans="1:12" ht="16" thickBot="1" x14ac:dyDescent="0.25">
      <c r="A11" s="44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2" ht="18" customHeight="1" thickBot="1" x14ac:dyDescent="0.25">
      <c r="A12" s="200"/>
      <c r="B12" s="77" t="s">
        <v>205</v>
      </c>
      <c r="C12" s="218"/>
      <c r="D12" s="218"/>
      <c r="E12" s="218"/>
      <c r="F12" s="218"/>
      <c r="G12" s="218"/>
      <c r="H12" s="218"/>
      <c r="I12" s="218"/>
      <c r="J12" s="218"/>
      <c r="K12" s="218"/>
      <c r="L12" s="219"/>
    </row>
    <row r="13" spans="1:12" ht="18" customHeight="1" x14ac:dyDescent="0.2">
      <c r="A13" s="200"/>
      <c r="B13" s="230" t="s">
        <v>206</v>
      </c>
      <c r="C13" s="46"/>
      <c r="D13" s="46"/>
      <c r="E13" s="193"/>
      <c r="F13" s="48" t="s">
        <v>207</v>
      </c>
      <c r="G13" s="46"/>
      <c r="H13" s="46"/>
      <c r="I13" s="193"/>
      <c r="J13" s="51" t="s">
        <v>208</v>
      </c>
      <c r="K13" s="46"/>
      <c r="L13" s="203"/>
    </row>
    <row r="14" spans="1:12" ht="18" customHeight="1" x14ac:dyDescent="0.2">
      <c r="A14" s="200"/>
      <c r="B14" s="231">
        <f>Revenue!M11</f>
        <v>0</v>
      </c>
      <c r="C14" s="185"/>
      <c r="D14" s="185"/>
      <c r="E14" s="193"/>
      <c r="F14" s="47">
        <f>PnL_OPEX!M15</f>
        <v>0</v>
      </c>
      <c r="G14" s="185"/>
      <c r="H14" s="185"/>
      <c r="I14" s="193"/>
      <c r="J14" s="45" t="str">
        <f>PnL_OPEX!M16</f>
        <v>-</v>
      </c>
      <c r="K14" s="185"/>
      <c r="L14" s="186"/>
    </row>
    <row r="15" spans="1:12" ht="18" customHeight="1" x14ac:dyDescent="0.2">
      <c r="A15" s="225"/>
      <c r="B15" s="232"/>
      <c r="C15" s="185"/>
      <c r="D15" s="185"/>
      <c r="E15" s="193"/>
      <c r="F15" s="54"/>
      <c r="G15" s="185"/>
      <c r="H15" s="185"/>
      <c r="I15" s="193"/>
      <c r="J15" s="43"/>
      <c r="K15" s="185"/>
      <c r="L15" s="186"/>
    </row>
    <row r="16" spans="1:12" ht="18" customHeight="1" thickBot="1" x14ac:dyDescent="0.25">
      <c r="A16" s="225"/>
      <c r="B16" s="233" t="s">
        <v>209</v>
      </c>
      <c r="C16" s="187"/>
      <c r="D16" s="187"/>
      <c r="E16" s="194"/>
      <c r="F16" s="201" t="s">
        <v>210</v>
      </c>
      <c r="G16" s="187"/>
      <c r="H16" s="187"/>
      <c r="I16" s="194"/>
      <c r="J16" s="202" t="s">
        <v>211</v>
      </c>
      <c r="K16" s="187"/>
      <c r="L16" s="188"/>
    </row>
    <row r="17" spans="1:12" ht="16" thickBot="1" x14ac:dyDescent="0.25">
      <c r="A17" s="44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</row>
    <row r="18" spans="1:12" ht="18" customHeight="1" thickBot="1" x14ac:dyDescent="0.25">
      <c r="A18" s="200"/>
      <c r="B18" s="77" t="s">
        <v>212</v>
      </c>
      <c r="C18" s="218"/>
      <c r="D18" s="218"/>
      <c r="E18" s="218"/>
      <c r="F18" s="218"/>
      <c r="G18" s="218"/>
      <c r="H18" s="218"/>
      <c r="I18" s="218"/>
      <c r="J18" s="218"/>
      <c r="K18" s="218"/>
      <c r="L18" s="219"/>
    </row>
    <row r="19" spans="1:12" ht="18" customHeight="1" x14ac:dyDescent="0.2">
      <c r="A19" s="200"/>
      <c r="B19" s="230" t="s">
        <v>213</v>
      </c>
      <c r="C19" s="46"/>
      <c r="D19" s="46"/>
      <c r="E19" s="193"/>
      <c r="F19" s="51" t="s">
        <v>214</v>
      </c>
      <c r="G19" s="46"/>
      <c r="H19" s="46"/>
      <c r="I19" s="193"/>
      <c r="J19" s="51" t="s">
        <v>215</v>
      </c>
      <c r="K19" s="46"/>
      <c r="L19" s="203"/>
    </row>
    <row r="20" spans="1:12" ht="18" customHeight="1" x14ac:dyDescent="0.2">
      <c r="A20" s="200"/>
      <c r="B20" s="234">
        <f>Assumptions!C49</f>
        <v>0</v>
      </c>
      <c r="C20" s="185"/>
      <c r="D20" s="185"/>
      <c r="E20" s="193"/>
      <c r="F20" s="57" t="str">
        <f>IFERROR(FCF_DCF!C20/PnL_OPEX!M15,"-")</f>
        <v>-</v>
      </c>
      <c r="G20" s="185"/>
      <c r="H20" s="185"/>
      <c r="I20" s="193"/>
      <c r="J20" s="45">
        <f>Assumptions!C17</f>
        <v>0</v>
      </c>
      <c r="K20" s="185"/>
      <c r="L20" s="186"/>
    </row>
    <row r="21" spans="1:12" ht="18" customHeight="1" x14ac:dyDescent="0.2">
      <c r="A21" s="200"/>
      <c r="B21" s="232"/>
      <c r="C21" s="185"/>
      <c r="D21" s="185"/>
      <c r="E21" s="193"/>
      <c r="F21" s="43"/>
      <c r="G21" s="185"/>
      <c r="H21" s="185"/>
      <c r="I21" s="193"/>
      <c r="J21" s="43"/>
      <c r="K21" s="185"/>
      <c r="L21" s="186"/>
    </row>
    <row r="22" spans="1:12" ht="18" customHeight="1" thickBot="1" x14ac:dyDescent="0.25">
      <c r="A22" s="225"/>
      <c r="B22" s="233" t="s">
        <v>216</v>
      </c>
      <c r="C22" s="187"/>
      <c r="D22" s="187"/>
      <c r="E22" s="194"/>
      <c r="F22" s="202" t="s">
        <v>217</v>
      </c>
      <c r="G22" s="187"/>
      <c r="H22" s="187"/>
      <c r="I22" s="194"/>
      <c r="J22" s="202" t="s">
        <v>218</v>
      </c>
      <c r="K22" s="187"/>
      <c r="L22" s="188"/>
    </row>
    <row r="23" spans="1:12" ht="16" thickBot="1" x14ac:dyDescent="0.25">
      <c r="A23" s="44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</row>
    <row r="24" spans="1:12" ht="18" customHeight="1" thickBot="1" x14ac:dyDescent="0.25">
      <c r="A24" s="200"/>
      <c r="B24" s="77" t="s">
        <v>219</v>
      </c>
      <c r="C24" s="218"/>
      <c r="D24" s="218"/>
      <c r="E24" s="218"/>
      <c r="F24" s="218"/>
      <c r="G24" s="218"/>
      <c r="H24" s="218"/>
      <c r="I24" s="218"/>
      <c r="J24" s="218"/>
      <c r="K24" s="218"/>
      <c r="L24" s="219"/>
    </row>
    <row r="25" spans="1:12" ht="15.75" customHeight="1" x14ac:dyDescent="0.2">
      <c r="A25" s="200"/>
      <c r="B25" s="235" t="s">
        <v>220</v>
      </c>
      <c r="C25" s="2" t="s">
        <v>221</v>
      </c>
      <c r="D25" s="2" t="s">
        <v>222</v>
      </c>
      <c r="E25" s="2" t="s">
        <v>223</v>
      </c>
      <c r="F25" s="2" t="s">
        <v>133</v>
      </c>
      <c r="G25" s="2" t="s">
        <v>224</v>
      </c>
      <c r="H25" s="3"/>
      <c r="I25" s="3"/>
      <c r="J25" s="3"/>
      <c r="K25" s="3"/>
      <c r="L25" s="204"/>
    </row>
    <row r="26" spans="1:12" ht="15" customHeight="1" x14ac:dyDescent="0.2">
      <c r="A26" s="200"/>
      <c r="B26" s="236">
        <v>2025</v>
      </c>
      <c r="C26" s="4">
        <f>Revenue!C4</f>
        <v>0</v>
      </c>
      <c r="D26" s="4">
        <f>Revenue!C5</f>
        <v>0</v>
      </c>
      <c r="E26" s="4">
        <f>IFERROR(Revenue!C11-Revenue!C4-Revenue!C5,0)</f>
        <v>0</v>
      </c>
      <c r="F26" s="5">
        <f>Revenue!C11</f>
        <v>0</v>
      </c>
      <c r="G26" s="6" t="s">
        <v>130</v>
      </c>
      <c r="H26" s="7"/>
      <c r="I26" s="7"/>
      <c r="J26" s="7"/>
      <c r="K26" s="7"/>
      <c r="L26" s="100"/>
    </row>
    <row r="27" spans="1:12" ht="15" customHeight="1" x14ac:dyDescent="0.2">
      <c r="A27" s="200"/>
      <c r="B27" s="237">
        <v>2026</v>
      </c>
      <c r="C27" s="8">
        <f>Revenue!D4</f>
        <v>0</v>
      </c>
      <c r="D27" s="8">
        <f>Revenue!D5</f>
        <v>0</v>
      </c>
      <c r="E27" s="8">
        <f>IFERROR(Revenue!D11-Revenue!D4-Revenue!D5,0)</f>
        <v>0</v>
      </c>
      <c r="F27" s="9">
        <f>Revenue!D11</f>
        <v>0</v>
      </c>
      <c r="G27" s="10" t="str">
        <f>IFERROR((Revenue!D11-Revenue!C11)/Revenue!C11,"-")</f>
        <v>-</v>
      </c>
      <c r="H27" s="11"/>
      <c r="I27" s="11"/>
      <c r="J27" s="11"/>
      <c r="K27" s="11"/>
      <c r="L27" s="205"/>
    </row>
    <row r="28" spans="1:12" ht="15" customHeight="1" x14ac:dyDescent="0.2">
      <c r="A28" s="200"/>
      <c r="B28" s="236">
        <v>2027</v>
      </c>
      <c r="C28" s="4">
        <f>Revenue!E4</f>
        <v>0</v>
      </c>
      <c r="D28" s="4">
        <f>Revenue!E5</f>
        <v>0</v>
      </c>
      <c r="E28" s="4">
        <f>IFERROR(Revenue!E11-Revenue!E4-Revenue!E5,0)</f>
        <v>0</v>
      </c>
      <c r="F28" s="5">
        <f>Revenue!E11</f>
        <v>0</v>
      </c>
      <c r="G28" s="6" t="str">
        <f>IFERROR((Revenue!E11-Revenue!D11)/Revenue!D11,"-")</f>
        <v>-</v>
      </c>
      <c r="H28" s="7"/>
      <c r="I28" s="7"/>
      <c r="J28" s="7"/>
      <c r="K28" s="7"/>
      <c r="L28" s="100"/>
    </row>
    <row r="29" spans="1:12" ht="15" customHeight="1" x14ac:dyDescent="0.2">
      <c r="A29" s="200"/>
      <c r="B29" s="237">
        <v>2028</v>
      </c>
      <c r="C29" s="8">
        <f>Revenue!F4</f>
        <v>0</v>
      </c>
      <c r="D29" s="8">
        <f>Revenue!F5</f>
        <v>0</v>
      </c>
      <c r="E29" s="8">
        <f>IFERROR(Revenue!F11-Revenue!F4-Revenue!F5,0)</f>
        <v>0</v>
      </c>
      <c r="F29" s="9">
        <f>Revenue!F11</f>
        <v>0</v>
      </c>
      <c r="G29" s="10" t="str">
        <f>IFERROR((Revenue!F11-Revenue!E11)/Revenue!E11,"-")</f>
        <v>-</v>
      </c>
      <c r="H29" s="11"/>
      <c r="I29" s="11"/>
      <c r="J29" s="11"/>
      <c r="K29" s="11"/>
      <c r="L29" s="205"/>
    </row>
    <row r="30" spans="1:12" ht="15" customHeight="1" x14ac:dyDescent="0.2">
      <c r="A30" s="200"/>
      <c r="B30" s="236">
        <v>2029</v>
      </c>
      <c r="C30" s="4">
        <f>Revenue!G4</f>
        <v>0</v>
      </c>
      <c r="D30" s="4">
        <f>Revenue!G5</f>
        <v>0</v>
      </c>
      <c r="E30" s="4">
        <f>IFERROR(Revenue!G11-Revenue!G4-Revenue!G5,0)</f>
        <v>0</v>
      </c>
      <c r="F30" s="5">
        <f>Revenue!G11</f>
        <v>0</v>
      </c>
      <c r="G30" s="6" t="str">
        <f>IFERROR((Revenue!G11-Revenue!F11)/Revenue!F11,"-")</f>
        <v>-</v>
      </c>
      <c r="H30" s="7"/>
      <c r="I30" s="7"/>
      <c r="J30" s="7"/>
      <c r="K30" s="7"/>
      <c r="L30" s="100"/>
    </row>
    <row r="31" spans="1:12" ht="15" customHeight="1" x14ac:dyDescent="0.2">
      <c r="A31" s="200"/>
      <c r="B31" s="237">
        <v>2030</v>
      </c>
      <c r="C31" s="8">
        <f>Revenue!H4</f>
        <v>0</v>
      </c>
      <c r="D31" s="8">
        <f>Revenue!H5</f>
        <v>0</v>
      </c>
      <c r="E31" s="8">
        <f>IFERROR(Revenue!H11-Revenue!H4-Revenue!H5,0)</f>
        <v>0</v>
      </c>
      <c r="F31" s="9">
        <f>Revenue!H11</f>
        <v>0</v>
      </c>
      <c r="G31" s="10" t="str">
        <f>IFERROR((Revenue!H11-Revenue!G11)/Revenue!G11,"-")</f>
        <v>-</v>
      </c>
      <c r="H31" s="11"/>
      <c r="I31" s="11"/>
      <c r="J31" s="11"/>
      <c r="K31" s="11"/>
      <c r="L31" s="205"/>
    </row>
    <row r="32" spans="1:12" ht="15" customHeight="1" x14ac:dyDescent="0.2">
      <c r="A32" s="200"/>
      <c r="B32" s="236">
        <v>2031</v>
      </c>
      <c r="C32" s="4">
        <f>Revenue!I4</f>
        <v>0</v>
      </c>
      <c r="D32" s="4">
        <f>Revenue!I5</f>
        <v>0</v>
      </c>
      <c r="E32" s="4">
        <f>IFERROR(Revenue!I11-Revenue!I4-Revenue!I5,0)</f>
        <v>0</v>
      </c>
      <c r="F32" s="5">
        <f>Revenue!I11</f>
        <v>0</v>
      </c>
      <c r="G32" s="6" t="str">
        <f>IFERROR((Revenue!I11-Revenue!H11)/Revenue!H11,"-")</f>
        <v>-</v>
      </c>
      <c r="H32" s="7"/>
      <c r="I32" s="7"/>
      <c r="J32" s="7"/>
      <c r="K32" s="7"/>
      <c r="L32" s="100"/>
    </row>
    <row r="33" spans="1:12" ht="15" customHeight="1" x14ac:dyDescent="0.2">
      <c r="A33" s="200"/>
      <c r="B33" s="237">
        <v>2032</v>
      </c>
      <c r="C33" s="8">
        <f>Revenue!J4</f>
        <v>0</v>
      </c>
      <c r="D33" s="8">
        <f>Revenue!J5</f>
        <v>0</v>
      </c>
      <c r="E33" s="8">
        <f>IFERROR(Revenue!J11-Revenue!J4-Revenue!J5,0)</f>
        <v>0</v>
      </c>
      <c r="F33" s="9">
        <f>Revenue!J11</f>
        <v>0</v>
      </c>
      <c r="G33" s="10" t="str">
        <f>IFERROR((Revenue!J11-Revenue!I11)/Revenue!I11,"-")</f>
        <v>-</v>
      </c>
      <c r="H33" s="11"/>
      <c r="I33" s="11"/>
      <c r="J33" s="11"/>
      <c r="K33" s="11"/>
      <c r="L33" s="205"/>
    </row>
    <row r="34" spans="1:12" ht="15" customHeight="1" x14ac:dyDescent="0.2">
      <c r="A34" s="200"/>
      <c r="B34" s="236">
        <v>2033</v>
      </c>
      <c r="C34" s="4">
        <f>Revenue!K4</f>
        <v>0</v>
      </c>
      <c r="D34" s="4">
        <f>Revenue!K5</f>
        <v>0</v>
      </c>
      <c r="E34" s="4">
        <f>IFERROR(Revenue!K11-Revenue!K4-Revenue!K5,0)</f>
        <v>0</v>
      </c>
      <c r="F34" s="5">
        <f>Revenue!K11</f>
        <v>0</v>
      </c>
      <c r="G34" s="6" t="str">
        <f>IFERROR((Revenue!K11-Revenue!J11)/Revenue!J11,"-")</f>
        <v>-</v>
      </c>
      <c r="H34" s="7"/>
      <c r="I34" s="7"/>
      <c r="J34" s="7"/>
      <c r="K34" s="7"/>
      <c r="L34" s="100"/>
    </row>
    <row r="35" spans="1:12" ht="15" customHeight="1" x14ac:dyDescent="0.2">
      <c r="A35" s="200"/>
      <c r="B35" s="237">
        <v>2034</v>
      </c>
      <c r="C35" s="8">
        <f>Revenue!L4</f>
        <v>0</v>
      </c>
      <c r="D35" s="8">
        <f>Revenue!L5</f>
        <v>0</v>
      </c>
      <c r="E35" s="8">
        <f>IFERROR(Revenue!L11-Revenue!L4-Revenue!L5,0)</f>
        <v>0</v>
      </c>
      <c r="F35" s="9">
        <f>Revenue!L11</f>
        <v>0</v>
      </c>
      <c r="G35" s="10" t="str">
        <f>IFERROR((Revenue!L11-Revenue!K11)/Revenue!K11,"-")</f>
        <v>-</v>
      </c>
      <c r="H35" s="11"/>
      <c r="I35" s="11"/>
      <c r="J35" s="11"/>
      <c r="K35" s="11"/>
      <c r="L35" s="205"/>
    </row>
    <row r="36" spans="1:12" ht="15" customHeight="1" thickBot="1" x14ac:dyDescent="0.25">
      <c r="A36" s="225"/>
      <c r="B36" s="238">
        <v>2035</v>
      </c>
      <c r="C36" s="206">
        <f>Revenue!M4</f>
        <v>0</v>
      </c>
      <c r="D36" s="206">
        <f>Revenue!M5</f>
        <v>0</v>
      </c>
      <c r="E36" s="206">
        <f>IFERROR(Revenue!M11-Revenue!M4-Revenue!M5,0)</f>
        <v>0</v>
      </c>
      <c r="F36" s="207">
        <f>Revenue!M11</f>
        <v>0</v>
      </c>
      <c r="G36" s="102" t="str">
        <f>IFERROR((Revenue!M11-Revenue!L11)/Revenue!L11,"-")</f>
        <v>-</v>
      </c>
      <c r="H36" s="141"/>
      <c r="I36" s="141"/>
      <c r="J36" s="141"/>
      <c r="K36" s="141"/>
      <c r="L36" s="142"/>
    </row>
    <row r="37" spans="1:12" ht="16" thickBot="1" x14ac:dyDescent="0.25">
      <c r="A37" s="44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spans="1:12" ht="18" customHeight="1" thickBot="1" x14ac:dyDescent="0.25">
      <c r="A38" s="200"/>
      <c r="B38" s="220" t="s">
        <v>225</v>
      </c>
      <c r="C38" s="221"/>
      <c r="D38" s="221"/>
      <c r="E38" s="221"/>
      <c r="F38" s="221"/>
      <c r="G38" s="221"/>
      <c r="H38" s="221"/>
      <c r="I38" s="221"/>
      <c r="J38" s="221"/>
      <c r="K38" s="221"/>
      <c r="L38" s="222"/>
    </row>
    <row r="39" spans="1:12" ht="15.75" customHeight="1" x14ac:dyDescent="0.2">
      <c r="A39" s="200"/>
      <c r="B39" s="245" t="s">
        <v>226</v>
      </c>
      <c r="C39" s="242" t="s">
        <v>31</v>
      </c>
      <c r="D39" s="242" t="s">
        <v>33</v>
      </c>
      <c r="E39" s="242" t="s">
        <v>35</v>
      </c>
      <c r="F39" s="242" t="s">
        <v>38</v>
      </c>
      <c r="G39" s="242" t="s">
        <v>41</v>
      </c>
      <c r="H39" s="243"/>
      <c r="I39" s="243"/>
      <c r="J39" s="243"/>
      <c r="K39" s="243"/>
      <c r="L39" s="244"/>
    </row>
    <row r="40" spans="1:12" ht="15" customHeight="1" x14ac:dyDescent="0.2">
      <c r="A40" s="200"/>
      <c r="B40" s="246" t="s">
        <v>133</v>
      </c>
      <c r="C40" s="9">
        <f>Revenue!C11</f>
        <v>0</v>
      </c>
      <c r="D40" s="9">
        <f>Revenue!E11</f>
        <v>0</v>
      </c>
      <c r="E40" s="9">
        <f>Revenue!G11</f>
        <v>0</v>
      </c>
      <c r="F40" s="9">
        <f>Revenue!J11</f>
        <v>0</v>
      </c>
      <c r="G40" s="9">
        <f>Revenue!M11</f>
        <v>0</v>
      </c>
      <c r="H40" s="11"/>
      <c r="I40" s="11"/>
      <c r="J40" s="11"/>
      <c r="K40" s="11"/>
      <c r="L40" s="205"/>
    </row>
    <row r="41" spans="1:12" ht="15" customHeight="1" x14ac:dyDescent="0.2">
      <c r="A41" s="200"/>
      <c r="B41" s="247" t="s">
        <v>140</v>
      </c>
      <c r="C41" s="12">
        <f>PnL_OPEX!C12</f>
        <v>0</v>
      </c>
      <c r="D41" s="12">
        <f>PnL_OPEX!E12</f>
        <v>0</v>
      </c>
      <c r="E41" s="12">
        <f>PnL_OPEX!G12</f>
        <v>0</v>
      </c>
      <c r="F41" s="12">
        <f>PnL_OPEX!J12</f>
        <v>0</v>
      </c>
      <c r="G41" s="12">
        <f>PnL_OPEX!M12</f>
        <v>0</v>
      </c>
      <c r="H41" s="7"/>
      <c r="I41" s="7"/>
      <c r="J41" s="7"/>
      <c r="K41" s="7"/>
      <c r="L41" s="100"/>
    </row>
    <row r="42" spans="1:12" ht="15" customHeight="1" x14ac:dyDescent="0.2">
      <c r="A42" s="200"/>
      <c r="B42" s="246" t="s">
        <v>141</v>
      </c>
      <c r="C42" s="13">
        <f>PnL_OPEX!C15</f>
        <v>0</v>
      </c>
      <c r="D42" s="13">
        <f>PnL_OPEX!E15</f>
        <v>0</v>
      </c>
      <c r="E42" s="13">
        <f>PnL_OPEX!G15</f>
        <v>0</v>
      </c>
      <c r="F42" s="13">
        <f>PnL_OPEX!J15</f>
        <v>0</v>
      </c>
      <c r="G42" s="13">
        <f>PnL_OPEX!M15</f>
        <v>0</v>
      </c>
      <c r="H42" s="11"/>
      <c r="I42" s="11"/>
      <c r="J42" s="11"/>
      <c r="K42" s="11"/>
      <c r="L42" s="205"/>
    </row>
    <row r="43" spans="1:12" ht="15" customHeight="1" x14ac:dyDescent="0.2">
      <c r="A43" s="200"/>
      <c r="B43" s="247" t="s">
        <v>142</v>
      </c>
      <c r="C43" s="14" t="str">
        <f>PnL_OPEX!C16</f>
        <v>-</v>
      </c>
      <c r="D43" s="14" t="str">
        <f>PnL_OPEX!E16</f>
        <v>-</v>
      </c>
      <c r="E43" s="14" t="str">
        <f>PnL_OPEX!G16</f>
        <v>-</v>
      </c>
      <c r="F43" s="14" t="str">
        <f>PnL_OPEX!J16</f>
        <v>-</v>
      </c>
      <c r="G43" s="14" t="str">
        <f>PnL_OPEX!M16</f>
        <v>-</v>
      </c>
      <c r="H43" s="7"/>
      <c r="I43" s="7"/>
      <c r="J43" s="7"/>
      <c r="K43" s="7"/>
      <c r="L43" s="100"/>
    </row>
    <row r="44" spans="1:12" ht="15" customHeight="1" x14ac:dyDescent="0.2">
      <c r="A44" s="200"/>
      <c r="B44" s="248" t="s">
        <v>227</v>
      </c>
      <c r="C44" s="15">
        <f>PnL_OPEX!C19</f>
        <v>0</v>
      </c>
      <c r="D44" s="15">
        <f>PnL_OPEX!E19</f>
        <v>0</v>
      </c>
      <c r="E44" s="15">
        <f>PnL_OPEX!G19</f>
        <v>0</v>
      </c>
      <c r="F44" s="15">
        <f>PnL_OPEX!J19</f>
        <v>0</v>
      </c>
      <c r="G44" s="15">
        <f>PnL_OPEX!M19</f>
        <v>0</v>
      </c>
      <c r="H44" s="11"/>
      <c r="I44" s="11"/>
      <c r="J44" s="11"/>
      <c r="K44" s="11"/>
      <c r="L44" s="205"/>
    </row>
    <row r="45" spans="1:12" ht="15" customHeight="1" x14ac:dyDescent="0.2">
      <c r="A45" s="200"/>
      <c r="B45" s="249" t="s">
        <v>145</v>
      </c>
      <c r="C45" s="5">
        <f>PnL_OPEX!C20</f>
        <v>0</v>
      </c>
      <c r="D45" s="5">
        <f>PnL_OPEX!E20</f>
        <v>0</v>
      </c>
      <c r="E45" s="5">
        <f>PnL_OPEX!G20</f>
        <v>0</v>
      </c>
      <c r="F45" s="5">
        <f>PnL_OPEX!J20</f>
        <v>0</v>
      </c>
      <c r="G45" s="5">
        <f>PnL_OPEX!M20</f>
        <v>0</v>
      </c>
      <c r="H45" s="7"/>
      <c r="I45" s="7"/>
      <c r="J45" s="7"/>
      <c r="K45" s="7"/>
      <c r="L45" s="100"/>
    </row>
    <row r="46" spans="1:12" ht="15" customHeight="1" thickBot="1" x14ac:dyDescent="0.25">
      <c r="A46" s="225"/>
      <c r="B46" s="250" t="s">
        <v>150</v>
      </c>
      <c r="C46" s="208">
        <f>PnL_OPEX!C22</f>
        <v>0</v>
      </c>
      <c r="D46" s="208">
        <f>PnL_OPEX!E22</f>
        <v>0</v>
      </c>
      <c r="E46" s="208">
        <f>PnL_OPEX!G22</f>
        <v>0</v>
      </c>
      <c r="F46" s="208">
        <f>PnL_OPEX!J22</f>
        <v>0</v>
      </c>
      <c r="G46" s="208">
        <f>PnL_OPEX!M22</f>
        <v>0</v>
      </c>
      <c r="H46" s="209"/>
      <c r="I46" s="209"/>
      <c r="J46" s="209"/>
      <c r="K46" s="209"/>
      <c r="L46" s="210"/>
    </row>
    <row r="47" spans="1:12" ht="16" thickBot="1" x14ac:dyDescent="0.25">
      <c r="A47" s="44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</row>
    <row r="48" spans="1:12" ht="18" customHeight="1" thickBot="1" x14ac:dyDescent="0.25">
      <c r="A48" s="223"/>
      <c r="B48" s="77" t="s">
        <v>228</v>
      </c>
      <c r="C48" s="218"/>
      <c r="D48" s="218"/>
      <c r="E48" s="218"/>
      <c r="F48" s="218"/>
      <c r="G48" s="218"/>
      <c r="H48" s="218"/>
      <c r="I48" s="218"/>
      <c r="J48" s="218"/>
      <c r="K48" s="218"/>
      <c r="L48" s="219"/>
    </row>
    <row r="49" spans="1:12" ht="15.75" customHeight="1" x14ac:dyDescent="0.2">
      <c r="A49" s="200"/>
      <c r="B49" s="245" t="s">
        <v>168</v>
      </c>
      <c r="C49" s="242" t="s">
        <v>169</v>
      </c>
      <c r="D49" s="242" t="s">
        <v>229</v>
      </c>
      <c r="E49" s="242" t="s">
        <v>171</v>
      </c>
      <c r="F49" s="243"/>
      <c r="G49" s="243"/>
      <c r="H49" s="243"/>
      <c r="I49" s="243"/>
      <c r="J49" s="243"/>
      <c r="K49" s="243"/>
      <c r="L49" s="244"/>
    </row>
    <row r="50" spans="1:12" ht="15" customHeight="1" x14ac:dyDescent="0.2">
      <c r="A50" s="200"/>
      <c r="B50" s="135" t="s">
        <v>175</v>
      </c>
      <c r="C50" s="16"/>
      <c r="D50" s="17"/>
      <c r="E50" s="18"/>
      <c r="F50" s="7"/>
      <c r="G50" s="7"/>
      <c r="H50" s="7"/>
      <c r="I50" s="7"/>
      <c r="J50" s="7"/>
      <c r="K50" s="7"/>
      <c r="L50" s="100"/>
    </row>
    <row r="51" spans="1:12" ht="15" customHeight="1" x14ac:dyDescent="0.2">
      <c r="A51" s="200"/>
      <c r="B51" s="135" t="s">
        <v>230</v>
      </c>
      <c r="C51" s="16"/>
      <c r="D51" s="17"/>
      <c r="E51" s="18"/>
      <c r="F51" s="7"/>
      <c r="G51" s="7"/>
      <c r="H51" s="7"/>
      <c r="I51" s="7"/>
      <c r="J51" s="7"/>
      <c r="K51" s="7"/>
      <c r="L51" s="100"/>
    </row>
    <row r="52" spans="1:12" ht="15" customHeight="1" x14ac:dyDescent="0.2">
      <c r="A52" s="200"/>
      <c r="B52" s="135" t="s">
        <v>178</v>
      </c>
      <c r="C52" s="16"/>
      <c r="D52" s="17"/>
      <c r="E52" s="18"/>
      <c r="F52" s="7"/>
      <c r="G52" s="7"/>
      <c r="H52" s="7"/>
      <c r="I52" s="7"/>
      <c r="J52" s="7"/>
      <c r="K52" s="7"/>
      <c r="L52" s="100"/>
    </row>
    <row r="53" spans="1:12" ht="15" customHeight="1" x14ac:dyDescent="0.2">
      <c r="A53" s="200"/>
      <c r="B53" s="135" t="s">
        <v>58</v>
      </c>
      <c r="C53" s="16"/>
      <c r="D53" s="17"/>
      <c r="E53" s="18"/>
      <c r="F53" s="7"/>
      <c r="G53" s="7"/>
      <c r="H53" s="7"/>
      <c r="I53" s="7"/>
      <c r="J53" s="7"/>
      <c r="K53" s="7"/>
      <c r="L53" s="100"/>
    </row>
    <row r="54" spans="1:12" ht="15" customHeight="1" x14ac:dyDescent="0.2">
      <c r="A54" s="200"/>
      <c r="B54" s="135" t="s">
        <v>231</v>
      </c>
      <c r="C54" s="16"/>
      <c r="D54" s="17"/>
      <c r="E54" s="18"/>
      <c r="F54" s="7"/>
      <c r="G54" s="7"/>
      <c r="H54" s="7"/>
      <c r="I54" s="7"/>
      <c r="J54" s="7"/>
      <c r="K54" s="7"/>
      <c r="L54" s="100"/>
    </row>
    <row r="55" spans="1:12" ht="15" customHeight="1" thickBot="1" x14ac:dyDescent="0.25">
      <c r="A55" s="225"/>
      <c r="B55" s="138" t="s">
        <v>232</v>
      </c>
      <c r="C55" s="211"/>
      <c r="D55" s="212"/>
      <c r="E55" s="213"/>
      <c r="F55" s="141"/>
      <c r="G55" s="141"/>
      <c r="H55" s="141"/>
      <c r="I55" s="141"/>
      <c r="J55" s="141"/>
      <c r="K55" s="141"/>
      <c r="L55" s="142"/>
    </row>
    <row r="56" spans="1:12" ht="16" thickBot="1" x14ac:dyDescent="0.25">
      <c r="A56" s="44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spans="1:12" ht="18" customHeight="1" x14ac:dyDescent="0.2">
      <c r="A57" s="200" t="s">
        <v>237</v>
      </c>
      <c r="B57" s="239" t="s">
        <v>233</v>
      </c>
      <c r="C57" s="240"/>
      <c r="D57" s="240"/>
      <c r="E57" s="240"/>
      <c r="F57" s="240"/>
      <c r="G57" s="240"/>
      <c r="H57" s="240"/>
      <c r="I57" s="240"/>
      <c r="J57" s="240"/>
      <c r="K57" s="240"/>
      <c r="L57" s="241"/>
    </row>
    <row r="58" spans="1:12" ht="15.75" customHeight="1" x14ac:dyDescent="0.2">
      <c r="A58" s="200"/>
      <c r="B58" s="251" t="s">
        <v>162</v>
      </c>
      <c r="C58" s="36"/>
      <c r="D58" s="36"/>
      <c r="E58" s="36"/>
      <c r="F58" s="52">
        <f>FCF_DCF!C19</f>
        <v>0</v>
      </c>
      <c r="G58" s="36"/>
      <c r="H58" s="36"/>
      <c r="I58" s="11"/>
      <c r="J58" s="11"/>
      <c r="K58" s="11"/>
      <c r="L58" s="205"/>
    </row>
    <row r="59" spans="1:12" ht="15.75" customHeight="1" x14ac:dyDescent="0.2">
      <c r="A59" s="200"/>
      <c r="B59" s="252" t="s">
        <v>234</v>
      </c>
      <c r="C59" s="36"/>
      <c r="D59" s="36"/>
      <c r="E59" s="36"/>
      <c r="F59" s="49" t="str">
        <f>IFERROR(FCF_DCF!M16,"-")</f>
        <v>-</v>
      </c>
      <c r="G59" s="36"/>
      <c r="H59" s="36"/>
      <c r="I59" s="7"/>
      <c r="J59" s="7"/>
      <c r="K59" s="7"/>
      <c r="L59" s="100"/>
    </row>
    <row r="60" spans="1:12" ht="15.75" customHeight="1" x14ac:dyDescent="0.2">
      <c r="A60" s="200"/>
      <c r="B60" s="253" t="s">
        <v>163</v>
      </c>
      <c r="C60" s="36"/>
      <c r="D60" s="36"/>
      <c r="E60" s="36"/>
      <c r="F60" s="56" t="str">
        <f>IFERROR(FCF_DCF!C20,"-")</f>
        <v>-</v>
      </c>
      <c r="G60" s="36"/>
      <c r="H60" s="36"/>
      <c r="I60" s="19"/>
      <c r="J60" s="19"/>
      <c r="K60" s="19"/>
      <c r="L60" s="214"/>
    </row>
    <row r="61" spans="1:12" ht="15.75" customHeight="1" x14ac:dyDescent="0.2">
      <c r="A61" s="200"/>
      <c r="B61" s="252" t="s">
        <v>235</v>
      </c>
      <c r="C61" s="36"/>
      <c r="D61" s="36"/>
      <c r="E61" s="36"/>
      <c r="F61" s="55">
        <f>FCF_DCF!C21</f>
        <v>0</v>
      </c>
      <c r="G61" s="36"/>
      <c r="H61" s="36"/>
      <c r="I61" s="7"/>
      <c r="J61" s="7"/>
      <c r="K61" s="7"/>
      <c r="L61" s="100"/>
    </row>
    <row r="62" spans="1:12" ht="15.75" customHeight="1" thickBot="1" x14ac:dyDescent="0.25">
      <c r="A62" s="225"/>
      <c r="B62" s="254" t="s">
        <v>165</v>
      </c>
      <c r="C62" s="140"/>
      <c r="D62" s="140"/>
      <c r="E62" s="140"/>
      <c r="F62" s="215" t="str">
        <f>IFERROR(FCF_DCF!C22,"-")</f>
        <v>-</v>
      </c>
      <c r="G62" s="140"/>
      <c r="H62" s="140"/>
      <c r="I62" s="216"/>
      <c r="J62" s="216"/>
      <c r="K62" s="216"/>
      <c r="L62" s="217"/>
    </row>
    <row r="63" spans="1:12" ht="18" customHeight="1" x14ac:dyDescent="0.2">
      <c r="A63" s="1"/>
    </row>
    <row r="64" spans="1:12" ht="13.5" customHeight="1" x14ac:dyDescent="0.2">
      <c r="A64" s="53" t="s">
        <v>236</v>
      </c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spans="1:1" ht="18" customHeight="1" x14ac:dyDescent="0.2">
      <c r="A65" s="1"/>
    </row>
    <row r="66" spans="1:1" ht="18" customHeight="1" x14ac:dyDescent="0.2"/>
    <row r="67" spans="1:1" ht="18" customHeight="1" x14ac:dyDescent="0.2"/>
    <row r="68" spans="1:1" ht="18" customHeight="1" x14ac:dyDescent="0.2"/>
    <row r="69" spans="1:1" ht="18" customHeight="1" x14ac:dyDescent="0.2"/>
    <row r="70" spans="1:1" ht="18" customHeight="1" x14ac:dyDescent="0.2"/>
    <row r="71" spans="1:1" ht="18" customHeight="1" x14ac:dyDescent="0.2"/>
    <row r="72" spans="1:1" ht="18" customHeight="1" x14ac:dyDescent="0.2"/>
    <row r="73" spans="1:1" ht="18" customHeight="1" x14ac:dyDescent="0.2"/>
    <row r="74" spans="1:1" ht="18" customHeight="1" x14ac:dyDescent="0.2"/>
    <row r="75" spans="1:1" ht="18" customHeight="1" x14ac:dyDescent="0.2"/>
    <row r="76" spans="1:1" ht="18" customHeight="1" x14ac:dyDescent="0.2"/>
    <row r="77" spans="1:1" ht="18" customHeight="1" x14ac:dyDescent="0.2"/>
    <row r="78" spans="1:1" ht="18" customHeight="1" x14ac:dyDescent="0.2"/>
    <row r="79" spans="1:1" ht="18" customHeight="1" x14ac:dyDescent="0.2"/>
    <row r="80" spans="1:1" ht="18" customHeight="1" x14ac:dyDescent="0.2"/>
    <row r="81" ht="18" customHeight="1" x14ac:dyDescent="0.2"/>
    <row r="82" ht="18" customHeight="1" x14ac:dyDescent="0.2"/>
    <row r="83" ht="18" customHeight="1" x14ac:dyDescent="0.2"/>
    <row r="84" ht="18" customHeight="1" x14ac:dyDescent="0.2"/>
    <row r="85" ht="18" customHeight="1" x14ac:dyDescent="0.2"/>
    <row r="86" ht="18" customHeight="1" x14ac:dyDescent="0.2"/>
    <row r="87" ht="18" customHeight="1" x14ac:dyDescent="0.2"/>
    <row r="88" ht="18" customHeight="1" x14ac:dyDescent="0.2"/>
    <row r="89" ht="18" customHeight="1" x14ac:dyDescent="0.2"/>
    <row r="90" ht="18" customHeight="1" x14ac:dyDescent="0.2"/>
    <row r="91" ht="18" customHeight="1" x14ac:dyDescent="0.2"/>
    <row r="92" ht="18" customHeight="1" x14ac:dyDescent="0.2"/>
    <row r="93" ht="18" customHeight="1" x14ac:dyDescent="0.2"/>
    <row r="94" ht="18" customHeight="1" x14ac:dyDescent="0.2"/>
    <row r="95" ht="18" customHeight="1" x14ac:dyDescent="0.2"/>
    <row r="96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</sheetData>
  <mergeCells count="62">
    <mergeCell ref="B38:L38"/>
    <mergeCell ref="B48:L48"/>
    <mergeCell ref="B57:L57"/>
    <mergeCell ref="B1:L3"/>
    <mergeCell ref="B4:L4"/>
    <mergeCell ref="B12:L12"/>
    <mergeCell ref="B6:L6"/>
    <mergeCell ref="B18:L18"/>
    <mergeCell ref="B24:L24"/>
    <mergeCell ref="F62:H62"/>
    <mergeCell ref="B10:D10"/>
    <mergeCell ref="J7:L7"/>
    <mergeCell ref="B19:D19"/>
    <mergeCell ref="J16:L16"/>
    <mergeCell ref="F22:H22"/>
    <mergeCell ref="F13:H13"/>
    <mergeCell ref="J22:L22"/>
    <mergeCell ref="B62:E62"/>
    <mergeCell ref="B9:D9"/>
    <mergeCell ref="F20:H20"/>
    <mergeCell ref="B14:D14"/>
    <mergeCell ref="A23:L23"/>
    <mergeCell ref="B8:D8"/>
    <mergeCell ref="A64:L64"/>
    <mergeCell ref="F9:H9"/>
    <mergeCell ref="B15:D15"/>
    <mergeCell ref="F61:H61"/>
    <mergeCell ref="F15:H15"/>
    <mergeCell ref="J21:L21"/>
    <mergeCell ref="A11:L11"/>
    <mergeCell ref="B20:D20"/>
    <mergeCell ref="F60:H60"/>
    <mergeCell ref="F14:H14"/>
    <mergeCell ref="B58:E58"/>
    <mergeCell ref="B60:E60"/>
    <mergeCell ref="B61:E61"/>
    <mergeCell ref="B13:D13"/>
    <mergeCell ref="J20:L20"/>
    <mergeCell ref="F59:H59"/>
    <mergeCell ref="B16:D16"/>
    <mergeCell ref="F16:H16"/>
    <mergeCell ref="F10:H10"/>
    <mergeCell ref="J14:L14"/>
    <mergeCell ref="F19:H19"/>
    <mergeCell ref="A37:L37"/>
    <mergeCell ref="J10:L10"/>
    <mergeCell ref="B22:D22"/>
    <mergeCell ref="J19:L19"/>
    <mergeCell ref="J13:L13"/>
    <mergeCell ref="A56:L56"/>
    <mergeCell ref="F58:H58"/>
    <mergeCell ref="B59:E59"/>
    <mergeCell ref="A17:L17"/>
    <mergeCell ref="F21:H21"/>
    <mergeCell ref="A47:L47"/>
    <mergeCell ref="J15:L15"/>
    <mergeCell ref="J8:L8"/>
    <mergeCell ref="B7:D7"/>
    <mergeCell ref="F8:H8"/>
    <mergeCell ref="B21:D21"/>
    <mergeCell ref="F7:H7"/>
    <mergeCell ref="J9:L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Cover</vt:lpstr>
      <vt:lpstr>Assumptions</vt:lpstr>
      <vt:lpstr>Revenue</vt:lpstr>
      <vt:lpstr>PnL_OPEX</vt:lpstr>
      <vt:lpstr>FCF_DCF</vt:lpstr>
      <vt:lpstr>Scenarios</vt:lpstr>
      <vt:lpstr>Sensitivity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Martina Barbero</cp:lastModifiedBy>
  <cp:revision>0</cp:revision>
  <dcterms:created xsi:type="dcterms:W3CDTF">2026-05-06T08:57:06Z</dcterms:created>
  <dcterms:modified xsi:type="dcterms:W3CDTF">2026-05-09T11:15:22Z</dcterms:modified>
  <dc:language>en-US</dc:language>
</cp:coreProperties>
</file>